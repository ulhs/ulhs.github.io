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3E5EB7B6-5E9C-4F40-B91E-F39E8B04919F}" xr6:coauthVersionLast="47" xr6:coauthVersionMax="47" xr10:uidLastSave="{00000000-0000-0000-0000-000000000000}"/>
  <bookViews>
    <workbookView xWindow="-110" yWindow="-110" windowWidth="19420" windowHeight="10300" tabRatio="689" xr2:uid="{00000000-000D-0000-FFFF-FFFF00000000}"/>
  </bookViews>
  <sheets>
    <sheet name="month" sheetId="6" r:id="rId1"/>
  </sheet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Area" localSheetId="0">month!$A$1:$AT$89</definedName>
    <definedName name="_xlnm.Print_Titles" localSheetId="0">month!$9:$11</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61" i="6" l="1"/>
  <c r="AM61" i="6"/>
  <c r="A57" i="6"/>
  <c r="AS62" i="6" s="1"/>
  <c r="AS64" i="6" s="1"/>
  <c r="A29" i="6"/>
  <c r="AO32" i="6" a="1"/>
  <c r="AO32" i="6" s="1"/>
  <c r="AO33" i="6" a="1"/>
  <c r="AO33" i="6" s="1"/>
  <c r="AO34" i="6" a="1"/>
  <c r="AO34" i="6"/>
  <c r="AO35" i="6" a="1"/>
  <c r="AO35" i="6" s="1"/>
  <c r="AO36" i="6" a="1"/>
  <c r="AO36" i="6" s="1"/>
  <c r="AO37" i="6" a="1"/>
  <c r="AO37" i="6" s="1"/>
  <c r="AO38" i="6" a="1"/>
  <c r="AO38" i="6" s="1"/>
  <c r="AO39" i="6" a="1"/>
  <c r="AO39" i="6" s="1"/>
  <c r="AO40" i="6" a="1"/>
  <c r="AO40" i="6" s="1"/>
  <c r="AO41" i="6" a="1"/>
  <c r="AO41" i="6"/>
  <c r="AO42" i="6" a="1"/>
  <c r="AO42" i="6" s="1"/>
  <c r="AO43" i="6" a="1"/>
  <c r="AO43" i="6" s="1"/>
  <c r="AO44" i="6" a="1"/>
  <c r="AO44" i="6" s="1"/>
  <c r="AO45" i="6" a="1"/>
  <c r="AO45" i="6" s="1"/>
  <c r="AO46" i="6" a="1"/>
  <c r="AO46" i="6" s="1"/>
  <c r="AO47" i="6" a="1"/>
  <c r="AO47" i="6" s="1"/>
  <c r="AO48" i="6" a="1"/>
  <c r="AO48" i="6" s="1"/>
  <c r="AO49" i="6" a="1"/>
  <c r="AO49" i="6" s="1"/>
  <c r="AO50" i="6" a="1"/>
  <c r="AO50" i="6" s="1"/>
  <c r="AO51" i="6" a="1"/>
  <c r="AO51" i="6" s="1"/>
  <c r="AO52" i="6" a="1"/>
  <c r="AO52" i="6" s="1"/>
  <c r="AO53" i="6" a="1"/>
  <c r="AO53" i="6" s="1"/>
  <c r="AO54" i="6" a="1"/>
  <c r="AO54" i="6" s="1"/>
  <c r="AO55" i="6" a="1"/>
  <c r="AO55" i="6" s="1"/>
  <c r="AO56" i="6" a="1"/>
  <c r="AO56" i="6" s="1"/>
  <c r="AO31" i="6" a="1"/>
  <c r="AO31" i="6" s="1"/>
  <c r="AO30" i="6" a="1"/>
  <c r="AO30" i="6" s="1"/>
  <c r="AM32" i="6" a="1"/>
  <c r="AM32" i="6" s="1"/>
  <c r="AM33" i="6" a="1"/>
  <c r="AM33" i="6" s="1"/>
  <c r="AM34" i="6" a="1"/>
  <c r="AM34" i="6" s="1"/>
  <c r="AM35" i="6" a="1"/>
  <c r="AM35" i="6" s="1"/>
  <c r="AM36" i="6" a="1"/>
  <c r="AM36" i="6" s="1"/>
  <c r="AM37" i="6" a="1"/>
  <c r="AM37" i="6" s="1"/>
  <c r="AM38" i="6" a="1"/>
  <c r="AM38" i="6" s="1"/>
  <c r="AM39" i="6" a="1"/>
  <c r="AM39" i="6" s="1"/>
  <c r="AM40" i="6" a="1"/>
  <c r="AM40" i="6" s="1"/>
  <c r="AM41" i="6" a="1"/>
  <c r="AM41" i="6" s="1"/>
  <c r="AM42" i="6" a="1"/>
  <c r="AM42" i="6" s="1"/>
  <c r="AM43" i="6" a="1"/>
  <c r="AM43" i="6" s="1"/>
  <c r="AM44" i="6" a="1"/>
  <c r="AM44" i="6" s="1"/>
  <c r="AM45" i="6" a="1"/>
  <c r="AM45" i="6" s="1"/>
  <c r="AM46" i="6" a="1"/>
  <c r="AM46" i="6" s="1"/>
  <c r="AM47" i="6" a="1"/>
  <c r="AM47" i="6" s="1"/>
  <c r="AM48" i="6" a="1"/>
  <c r="AM48" i="6" s="1"/>
  <c r="AM49" i="6" a="1"/>
  <c r="AM49" i="6" s="1"/>
  <c r="AM50" i="6" a="1"/>
  <c r="AM50" i="6" s="1"/>
  <c r="AM51" i="6" a="1"/>
  <c r="AM51" i="6" s="1"/>
  <c r="AM52" i="6" a="1"/>
  <c r="AM52" i="6" s="1"/>
  <c r="AM53" i="6" a="1"/>
  <c r="AM53" i="6" s="1"/>
  <c r="AM54" i="6" a="1"/>
  <c r="AM54" i="6" s="1"/>
  <c r="AM55" i="6" a="1"/>
  <c r="AM55" i="6" s="1"/>
  <c r="AM56" i="6" a="1"/>
  <c r="AM56" i="6" s="1"/>
  <c r="AM31" i="6" a="1"/>
  <c r="AM31" i="6" s="1"/>
  <c r="AM30" i="6" a="1"/>
  <c r="AM30" i="6" s="1"/>
  <c r="AK57" i="6" a="1"/>
  <c r="AK57" i="6" s="1"/>
  <c r="AG57" i="6" a="1"/>
  <c r="AG57" i="6" s="1"/>
  <c r="Z57" i="6" a="1"/>
  <c r="Z57" i="6" s="1"/>
  <c r="X57" i="6" a="1"/>
  <c r="X57" i="6" s="1"/>
  <c r="V57" i="6" a="1"/>
  <c r="V57" i="6" s="1"/>
  <c r="R57" i="6" a="1"/>
  <c r="R57" i="6" s="1"/>
  <c r="L57" i="6" a="1"/>
  <c r="L57" i="6" s="1"/>
  <c r="AJ57" i="6" a="1"/>
  <c r="AJ57" i="6" s="1"/>
  <c r="AI57" i="6" a="1"/>
  <c r="AI57" i="6" s="1"/>
  <c r="AF57" i="6" a="1"/>
  <c r="AF57" i="6" s="1"/>
  <c r="AE57" i="6" a="1"/>
  <c r="AE57" i="6" s="1"/>
  <c r="AD57" i="6" a="1"/>
  <c r="AD57" i="6" s="1"/>
  <c r="AC57" i="6" a="1"/>
  <c r="AC57" i="6" s="1"/>
  <c r="AB57" i="6" a="1"/>
  <c r="AB57" i="6" s="1"/>
  <c r="U57" i="6" a="1"/>
  <c r="U57" i="6" s="1"/>
  <c r="T57" i="6" a="1"/>
  <c r="T57" i="6" s="1"/>
  <c r="Q57" i="6" a="1"/>
  <c r="Q57" i="6" s="1"/>
  <c r="P57" i="6" a="1"/>
  <c r="P57" i="6" s="1"/>
  <c r="O57" i="6" a="1"/>
  <c r="O57" i="6" s="1"/>
  <c r="N57" i="6" a="1"/>
  <c r="N57" i="6" s="1"/>
  <c r="K57" i="6" a="1"/>
  <c r="K57" i="6" s="1"/>
  <c r="J57" i="6" a="1"/>
  <c r="J57" i="6" s="1"/>
  <c r="H57" i="6" a="1"/>
  <c r="H57" i="6" s="1"/>
  <c r="I57" i="6" a="1"/>
  <c r="I57" i="6" s="1"/>
  <c r="F57" i="6" a="1"/>
  <c r="F57" i="6" s="1"/>
  <c r="AL29" i="6" a="1"/>
  <c r="AL29" i="6" s="1"/>
  <c r="AK29" i="6" a="1"/>
  <c r="AK29" i="6" s="1"/>
  <c r="AJ29" i="6" a="1"/>
  <c r="AJ29" i="6" s="1"/>
  <c r="AI29" i="6" a="1"/>
  <c r="AI29" i="6" s="1"/>
  <c r="AH29" i="6" a="1"/>
  <c r="AH29" i="6" s="1"/>
  <c r="AG29" i="6" a="1"/>
  <c r="AG29" i="6" s="1"/>
  <c r="AC29" i="6" a="1"/>
  <c r="AC29" i="6" s="1"/>
  <c r="AD29" i="6" a="1"/>
  <c r="AD29" i="6" s="1"/>
  <c r="AE29" i="6" a="1"/>
  <c r="AE29" i="6" s="1"/>
  <c r="AF29" i="6" a="1"/>
  <c r="AF29" i="6" s="1"/>
  <c r="AB29" i="6" a="1"/>
  <c r="AB29" i="6" s="1"/>
  <c r="AA29" i="6" a="1"/>
  <c r="AA29" i="6" s="1"/>
  <c r="Z29" i="6" a="1"/>
  <c r="Z29" i="6" s="1"/>
  <c r="Y29" i="6" a="1"/>
  <c r="Y29" i="6" s="1"/>
  <c r="X29" i="6" a="1"/>
  <c r="X29" i="6" s="1"/>
  <c r="W29" i="6" a="1"/>
  <c r="W29" i="6" s="1"/>
  <c r="V29" i="6" a="1"/>
  <c r="V29" i="6" s="1"/>
  <c r="U29" i="6" a="1"/>
  <c r="U29" i="6" s="1"/>
  <c r="T29" i="6" a="1"/>
  <c r="T29" i="6" s="1"/>
  <c r="S29" i="6" a="1"/>
  <c r="S29" i="6" s="1"/>
  <c r="R29" i="6" a="1"/>
  <c r="R29" i="6" s="1"/>
  <c r="O29" i="6" a="1"/>
  <c r="O29" i="6" s="1"/>
  <c r="P29" i="6" a="1"/>
  <c r="P29" i="6" s="1"/>
  <c r="Q29" i="6" a="1"/>
  <c r="Q29" i="6" s="1"/>
  <c r="N29" i="6" a="1"/>
  <c r="N29" i="6" s="1"/>
  <c r="M29" i="6" a="1"/>
  <c r="M29" i="6" s="1"/>
  <c r="L29" i="6" a="1"/>
  <c r="L29" i="6" s="1"/>
  <c r="J29" i="6" a="1"/>
  <c r="J29" i="6" s="1"/>
  <c r="K29" i="6" a="1"/>
  <c r="K29" i="6" s="1"/>
  <c r="I29" i="6" a="1"/>
  <c r="I29" i="6" s="1"/>
  <c r="H29" i="6" a="1"/>
  <c r="H29" i="6" s="1"/>
  <c r="F29" i="6" a="1"/>
  <c r="F29" i="6" s="1"/>
  <c r="AO28" i="6" a="1"/>
  <c r="AO28" i="6" s="1"/>
  <c r="AO14" i="6" a="1"/>
  <c r="AO14" i="6" s="1"/>
  <c r="AO15" i="6" a="1"/>
  <c r="AO15" i="6" s="1"/>
  <c r="AO16" i="6" a="1"/>
  <c r="AO16" i="6" s="1"/>
  <c r="AO17" i="6" a="1"/>
  <c r="AO17" i="6" s="1"/>
  <c r="AO18" i="6" a="1"/>
  <c r="AO18" i="6" s="1"/>
  <c r="AO19" i="6" a="1"/>
  <c r="AO19" i="6" s="1"/>
  <c r="AO20" i="6" a="1"/>
  <c r="AO20" i="6" s="1"/>
  <c r="AO21" i="6" a="1"/>
  <c r="AO21" i="6" s="1"/>
  <c r="AO22" i="6" a="1"/>
  <c r="AO22" i="6" s="1"/>
  <c r="AO23" i="6" a="1"/>
  <c r="AO23" i="6" s="1"/>
  <c r="AO24" i="6" a="1"/>
  <c r="AO24" i="6" s="1"/>
  <c r="AO25" i="6" a="1"/>
  <c r="AO25" i="6" s="1"/>
  <c r="AO26" i="6" a="1"/>
  <c r="AO26" i="6" s="1"/>
  <c r="AO27" i="6" a="1"/>
  <c r="AO27" i="6" s="1"/>
  <c r="AO13" i="6" a="1"/>
  <c r="AO13" i="6" s="1"/>
  <c r="AM28" i="6" a="1"/>
  <c r="AM28" i="6" s="1"/>
  <c r="AM14" i="6" a="1"/>
  <c r="AM14" i="6" s="1"/>
  <c r="AM15" i="6" a="1"/>
  <c r="AM15" i="6" s="1"/>
  <c r="AM16" i="6" a="1"/>
  <c r="AM16" i="6" s="1"/>
  <c r="AM17" i="6" a="1"/>
  <c r="AM17" i="6" s="1"/>
  <c r="AM18" i="6" a="1"/>
  <c r="AM18" i="6" s="1"/>
  <c r="AM19" i="6" a="1"/>
  <c r="AM19" i="6" s="1"/>
  <c r="AM20" i="6" a="1"/>
  <c r="AM20" i="6" s="1"/>
  <c r="AM21" i="6" a="1"/>
  <c r="AM21" i="6" s="1"/>
  <c r="AM22" i="6" a="1"/>
  <c r="AM22" i="6" s="1"/>
  <c r="AM23" i="6" a="1"/>
  <c r="AM23" i="6" s="1"/>
  <c r="AM24" i="6" a="1"/>
  <c r="AM24" i="6" s="1"/>
  <c r="AM25" i="6" a="1"/>
  <c r="AM25" i="6" s="1"/>
  <c r="AM26" i="6" a="1"/>
  <c r="AM26" i="6" s="1"/>
  <c r="AM27" i="6" a="1"/>
  <c r="AM27" i="6" s="1"/>
  <c r="AM13" i="6" a="1"/>
  <c r="AM13" i="6" s="1"/>
  <c r="AO12" i="6" a="1"/>
  <c r="AO12" i="6" s="1"/>
  <c r="AM12" i="6" a="1"/>
  <c r="AM12" i="6" s="1"/>
  <c r="A58" i="6" l="1"/>
  <c r="AR62" i="6"/>
  <c r="AR64" i="6" s="1"/>
  <c r="AR65" i="6" s="1"/>
  <c r="AO57" i="6"/>
  <c r="AS66" i="6" s="1"/>
  <c r="AS67" i="6" s="1"/>
  <c r="AM57" i="6"/>
  <c r="AO29" i="6"/>
  <c r="AR66" i="6" s="1"/>
  <c r="AM29" i="6"/>
  <c r="AT68" i="6"/>
  <c r="AT63" i="6"/>
  <c r="AS65" i="6"/>
  <c r="AR67" i="6" l="1"/>
  <c r="AT67" i="6" s="1"/>
  <c r="AT66" i="6"/>
  <c r="AT65" i="6"/>
  <c r="AT62" i="6"/>
  <c r="AT64" i="6"/>
  <c r="AO58" i="6"/>
  <c r="AM58"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<sst xmlns="http://schemas.openxmlformats.org/spreadsheetml/2006/main" count="852" uniqueCount="78">
  <si>
    <t xml:space="preserve">School ID </t>
  </si>
  <si>
    <t xml:space="preserve">School Name </t>
  </si>
  <si>
    <t/>
  </si>
  <si>
    <t>TOTAL</t>
  </si>
  <si>
    <t>Section</t>
  </si>
  <si>
    <t>School Year</t>
  </si>
  <si>
    <t>Semester</t>
  </si>
  <si>
    <t>Grade Level</t>
  </si>
  <si>
    <t>Track and Strand</t>
  </si>
  <si>
    <t>Course/s (only for TVL)</t>
  </si>
  <si>
    <t>Month of</t>
  </si>
  <si>
    <t>No.</t>
  </si>
  <si>
    <t>Total for the Month</t>
  </si>
  <si>
    <t>M</t>
  </si>
  <si>
    <t>T</t>
  </si>
  <si>
    <t>W</t>
  </si>
  <si>
    <t>TH</t>
  </si>
  <si>
    <t>F</t>
  </si>
  <si>
    <t>ABSENT</t>
  </si>
  <si>
    <t>TARDY</t>
  </si>
  <si>
    <t>&lt;=== MALE | TOTAL Per Day ===&gt;</t>
  </si>
  <si>
    <t>&lt;=== FEMALE | TOTAL Per Day ===&gt;</t>
  </si>
  <si>
    <t>Combined TOTAL Per Day</t>
  </si>
  <si>
    <t>GUIDELINES:</t>
  </si>
  <si>
    <t>1. CODES FOR CHECKING ATTENDANCE</t>
  </si>
  <si>
    <t>Month:</t>
  </si>
  <si>
    <t>No. of Days of Classes:</t>
  </si>
  <si>
    <t>Summary</t>
  </si>
  <si>
    <t>1. The attendance shall be accomplished daily. Refer to the codes for checking learners' attendance
2. To compute the following:</t>
  </si>
  <si>
    <t>* Enrolment  (as of 1st Friday of the semester)</t>
  </si>
  <si>
    <t>a. Percentage of Enrolment =</t>
  </si>
  <si>
    <t>Registered Learners as of end of the month</t>
  </si>
  <si>
    <t>x 100</t>
  </si>
  <si>
    <t xml:space="preserve">2. REASONS/CAUSES FOR NO LONGER IN SCHOOL (NLS)    </t>
  </si>
  <si>
    <t>Enrolment as of 1st Friday of the school year</t>
  </si>
  <si>
    <t>a. Domestic-Related Factors</t>
  </si>
  <si>
    <t>Percentage of Enrolment as of end of the month</t>
  </si>
  <si>
    <t>b. Average Daily Attendance =</t>
  </si>
  <si>
    <t>Total Daily Attendance</t>
  </si>
  <si>
    <t>Average Daily Attendance</t>
  </si>
  <si>
    <t>Number of School Days in reporting month</t>
  </si>
  <si>
    <t>a.1. Had to take care of siblings
a.2. Early marriage/pregnancy
a.3. Parents' attitude toward schooling
a.4. Family problems</t>
  </si>
  <si>
    <t>Percentage of Attendance for the month</t>
  </si>
  <si>
    <t>c. Percentage of Attendance for the month =</t>
  </si>
  <si>
    <t>Average daily attendance</t>
  </si>
  <si>
    <t>Number of students absent for 5 consecutive days</t>
  </si>
  <si>
    <t>b. Individual-Related Factors</t>
  </si>
  <si>
    <t>Shifting Out</t>
  </si>
  <si>
    <t>Shifting In</t>
  </si>
  <si>
    <t>c. School-Related Factors</t>
  </si>
  <si>
    <t>d. Geographic/Environmental</t>
  </si>
  <si>
    <t>e. Financial-Related</t>
  </si>
  <si>
    <t>e.1. Child labor, work</t>
  </si>
  <si>
    <t xml:space="preserve">f. Others (Specify)                                                                       </t>
  </si>
  <si>
    <t xml:space="preserve">a. Death                                                                               </t>
  </si>
  <si>
    <t xml:space="preserve">c. Transferred to International School                                                                            </t>
  </si>
  <si>
    <t>Region</t>
  </si>
  <si>
    <t>Division</t>
  </si>
  <si>
    <t xml:space="preserve"> School Form 2 Daily Attendance Report of Learners  for Senior High School (SF2-SHS) </t>
  </si>
  <si>
    <t>District</t>
  </si>
  <si>
    <t>DATE</t>
  </si>
  <si>
    <t>3. Every end of the month, the Class Adviser will submit this form to the Office of the Principal for recording of summary table into School Form 4. Once signed by the School Head, this form should be returned to the Class Adviser.
4. The Class Adviser will provide neccessary interventions including but not limited to home visitation to learner/s who were absent for 5 consecutive days and/or those at risk of dropping out.
5.  Attendance performance of learners will be reflected in the SF9-SHS of every grading period.</t>
  </si>
  <si>
    <t>Late Enrolment during the month (beyond cut-off)</t>
  </si>
  <si>
    <t>No Longer in School (NLS)</t>
  </si>
  <si>
    <t>Transferred Out</t>
  </si>
  <si>
    <t>Transferred In</t>
  </si>
  <si>
    <t>Signature of Class Adviser over Printed Name</t>
  </si>
  <si>
    <t>Signature of School Head over Printed Name</t>
  </si>
  <si>
    <t>d. Transferred to ALS</t>
  </si>
  <si>
    <t>(blank) - Present; (x) - Absent; Tardy (half shaded = Upper for Late Comer, Lower for Cutting Classes)</t>
  </si>
  <si>
    <t>b.1. Illness
b.2. Overage
b.4. Drug Abuse
b.5. Poor Academic Performance
b.6. Lack of Interest/Distractions
b.7. Hunger/Malnutrition</t>
  </si>
  <si>
    <t>c.1. Teacher Factor
c.2. Physical Condition of Classroom
c.3. Peer Influence</t>
  </si>
  <si>
    <t>d.1. Distance between home and school
d.2. Armed conflict (incl. tribal wars &amp; clan feuds)
d.3. Calamities/Disasters</t>
  </si>
  <si>
    <t>b. Transferred to School Abroad</t>
  </si>
  <si>
    <r>
      <t xml:space="preserve">NAME
</t>
    </r>
    <r>
      <rPr>
        <sz val="8"/>
        <rFont val="Arial Narrow"/>
        <family val="2"/>
      </rPr>
      <t>(Last Name, First Name, Name Extension, Middle Name)</t>
    </r>
  </si>
  <si>
    <t>Attested By:</t>
  </si>
  <si>
    <r>
      <rPr>
        <b/>
        <sz val="6"/>
        <rFont val="Arial Narrow"/>
        <family val="2"/>
      </rPr>
      <t>REMARKS</t>
    </r>
    <r>
      <rPr>
        <b/>
        <sz val="5"/>
        <color indexed="72"/>
        <rFont val="Arial Narrow"/>
        <family val="2"/>
      </rPr>
      <t xml:space="preserve">
</t>
    </r>
    <r>
      <rPr>
        <sz val="5"/>
        <rFont val="Arial Narrow"/>
        <family val="2"/>
      </rPr>
      <t>1. If No Longer in School (NLS), state reason, please refer to legend number. 2. If TRANSFERRED IN/OUT, write the name of School. 3. If SHIFTING IN/OUT, write the name of Track/Strand/Program).</t>
    </r>
  </si>
  <si>
    <t>I certify that this report is true and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</si>
</sst>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5">
    <font>
      <sz val="11"/>
      <color theme="1"/>
      <name val="Calibri"/>
      <family val="2"/>
      <scheme val="minor"/>
    </font>
    <font>
      <sz val="8"/>
      <color indexed="72"/>
      <name val="SansSerif"/>
    </font>
    <font>
      <sz val="10"/>
      <name val="Arial"/>
      <family val="2"/>
    </font>
    <font>
      <sz val="8"/>
      <color rgb="FFFF0000"/>
      <name val="SansSerif"/>
    </font>
    <font>
      <sz val="10"/>
      <name val="Arial"/>
      <family val="2"/>
    </font>
    <font>
      <sz val="9"/>
      <name val="Arial Narrow"/>
      <family val="2"/>
    </font>
    <font>
      <sz val="9"/>
      <color indexed="72"/>
      <name val="Arial Narrow"/>
      <family val="2"/>
    </font>
    <font>
      <b/>
      <sz val="11"/>
      <name val="SansSerif"/>
    </font>
    <font>
      <sz val="11"/>
      <color theme="1"/>
      <name val="Calibri"/>
      <family val="2"/>
      <scheme val="minor"/>
    </font>
    <font>
      <b/>
      <sz val="16"/>
      <name val="SansSerif"/>
    </font>
    <font>
      <b/>
      <sz val="5"/>
      <color indexed="72"/>
      <name val="Arial Narrow"/>
      <family val="2"/>
    </font>
    <font>
      <sz val="10"/>
      <name val="Arial Narrow"/>
      <family val="2"/>
    </font>
    <font>
      <sz val="7"/>
      <color indexed="72"/>
      <name val="Arial Narrow"/>
      <family val="2"/>
    </font>
    <font>
      <sz val="7"/>
      <name val="Arial Narrow"/>
      <family val="2"/>
    </font>
    <font>
      <sz val="8"/>
      <name val="Arial Narrow"/>
      <family val="2"/>
    </font>
    <font>
      <sz val="7"/>
      <color theme="1"/>
      <name val="Arial Narrow"/>
      <family val="2"/>
    </font>
    <font>
      <sz val="7"/>
      <color rgb="FFFF0000"/>
      <name val="Arial Narrow"/>
      <family val="2"/>
    </font>
    <font>
      <i/>
      <sz val="5"/>
      <color indexed="72"/>
      <name val="Arial Narrow"/>
      <family val="2"/>
    </font>
    <font>
      <sz val="8"/>
      <color indexed="72"/>
      <name val="Arial Narrow"/>
      <family val="2"/>
    </font>
    <font>
      <sz val="8"/>
      <color rgb="FFFF0000"/>
      <name val="Arial Narrow"/>
      <family val="2"/>
    </font>
    <font>
      <b/>
      <sz val="8"/>
      <name val="Arial Narrow"/>
      <family val="2"/>
    </font>
    <font>
      <sz val="6"/>
      <color indexed="72"/>
      <name val="Arial Narrow"/>
      <family val="2"/>
    </font>
    <font>
      <sz val="5"/>
      <color indexed="72"/>
      <name val="Arial Narrow"/>
      <family val="2"/>
    </font>
    <font>
      <sz val="12"/>
      <name val="Arial Narrow"/>
      <family val="2"/>
    </font>
    <font>
      <sz val="10"/>
      <color theme="1"/>
      <name val="Arial"/>
      <family val="2"/>
    </font>
    <font>
      <b/>
      <sz val="15"/>
      <name val="SansSerif"/>
    </font>
    <font>
      <sz val="10"/>
      <color indexed="72"/>
      <name val="Arial Narrow"/>
      <family val="2"/>
    </font>
    <font>
      <b/>
      <sz val="10"/>
      <color indexed="72"/>
      <name val="Arial Narrow"/>
      <family val="2"/>
    </font>
    <font>
      <sz val="8"/>
      <color theme="1"/>
      <name val="Arial Narrow"/>
      <family val="2"/>
    </font>
    <font>
      <sz val="5"/>
      <name val="Arial Narrow"/>
      <family val="2"/>
    </font>
    <font>
      <b/>
      <sz val="6"/>
      <name val="Arial Narrow"/>
      <family val="2"/>
    </font>
    <font>
      <b/>
      <sz val="8"/>
      <color indexed="72"/>
      <name val="Arial Narrow"/>
      <family val="2"/>
    </font>
    <font>
      <b/>
      <sz val="5"/>
      <color rgb="FFFF0000"/>
      <name val="Arial Narrow"/>
      <family val="2"/>
    </font>
    <font>
      <b/>
      <sz val="9"/>
      <name val="Arial Narrow"/>
      <family val="2"/>
    </font>
    <font>
      <b/>
      <sz val="10"/>
      <name val="Arial Narrow"/>
      <family val="2"/>
    </font>
  </fonts>
  <fills count="4">
    <fill>
      <patternFill patternType="none"/>
    </fill>
    <fill>
      <patternFill patternType="gray125"/>
    </fill>
    <fill>
      <patternFill patternType="solid">
        <fgColor indexed="9"/>
        <bgColor indexed="64"/>
      </patternFill>
    </fill>
    <fill>
      <patternFill patternType="solid">
        <fgColor theme="0" tint="-0.249977111117893"/>
        <bgColor indexed="64"/>
      </patternFill>
    </fill>
  </fills>
  <borders count="1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8"/>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8"/>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8"/>
      </bottom>
      <diagonal/>
    </border>
    <border>
      <left/>
      <right style="medium">
        <color indexed="64"/>
      </right>
      <top/>
      <bottom style="medium">
        <color indexed="8"/>
      </bottom>
      <diagonal/>
    </border>
    <border>
      <left style="medium">
        <color indexed="64"/>
      </left>
      <right/>
      <top/>
      <bottom style="medium">
        <color indexed="64"/>
      </bottom>
      <diagonal/>
    </border>
    <border>
      <left/>
      <right style="medium">
        <color indexed="8"/>
      </right>
      <top/>
      <bottom style="medium">
        <color indexed="64"/>
      </bottom>
      <diagonal/>
    </border>
    <border>
      <left style="medium">
        <color indexed="8"/>
      </left>
      <right/>
      <top/>
      <bottom style="medium">
        <color indexed="64"/>
      </bottom>
      <diagonal/>
    </border>
    <border>
      <left style="thin">
        <color indexed="8"/>
      </left>
      <right style="thin">
        <color indexed="8"/>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right style="medium">
        <color indexed="64"/>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auto="1"/>
      </right>
      <top style="medium">
        <color auto="1"/>
      </top>
      <bottom style="medium">
        <color auto="1"/>
      </bottom>
      <diagonal/>
    </border>
    <border>
      <left/>
      <right style="medium">
        <color auto="1"/>
      </right>
      <top/>
      <bottom/>
      <diagonal/>
    </border>
    <border>
      <left style="thin">
        <color indexed="64"/>
      </left>
      <right style="thin">
        <color indexed="64"/>
      </right>
      <top/>
      <bottom style="thin">
        <color indexed="64"/>
      </bottom>
      <diagonal/>
    </border>
    <border>
      <left/>
      <right/>
      <top/>
      <bottom style="thin">
        <color indexed="8"/>
      </bottom>
      <diagonal/>
    </border>
    <border>
      <left style="medium">
        <color indexed="64"/>
      </left>
      <right/>
      <top/>
      <bottom style="thin">
        <color indexed="8"/>
      </bottom>
      <diagonal/>
    </border>
    <border>
      <left/>
      <right/>
      <top/>
      <bottom style="thin">
        <color indexed="64"/>
      </bottom>
      <diagonal/>
    </border>
    <border>
      <left style="thin">
        <color indexed="64"/>
      </left>
      <right style="thin">
        <color indexed="64"/>
      </right>
      <top style="medium">
        <color indexed="64"/>
      </top>
      <bottom/>
      <diagonal/>
    </border>
    <border>
      <left/>
      <right/>
      <top/>
      <bottom style="medium">
        <color indexed="64"/>
      </bottom>
      <diagonal/>
    </border>
    <border>
      <left/>
      <right style="thin">
        <color indexed="8"/>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8"/>
      </right>
      <top/>
      <bottom style="medium">
        <color indexed="64"/>
      </bottom>
      <diagonal/>
    </border>
    <border>
      <left style="thin">
        <color indexed="8"/>
      </left>
      <right/>
      <top/>
      <bottom style="medium">
        <color indexed="64"/>
      </bottom>
      <diagonal/>
    </border>
    <border>
      <left/>
      <right style="thin">
        <color indexed="8"/>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auto="1"/>
      </left>
      <right style="thin">
        <color auto="1"/>
      </right>
      <top style="medium">
        <color indexed="64"/>
      </top>
      <bottom style="thin">
        <color auto="1"/>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bottom style="thin">
        <color indexed="64"/>
      </bottom>
      <diagonal/>
    </border>
    <border>
      <left/>
      <right style="thin">
        <color auto="1"/>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thin">
        <color indexed="8"/>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8"/>
      </right>
      <top style="medium">
        <color indexed="64"/>
      </top>
      <bottom/>
      <diagonal/>
    </border>
    <border>
      <left style="medium">
        <color indexed="8"/>
      </left>
      <right/>
      <top style="medium">
        <color indexed="64"/>
      </top>
      <bottom/>
      <diagonal/>
    </border>
    <border>
      <left/>
      <right style="medium">
        <color indexed="8"/>
      </right>
      <top/>
      <bottom/>
      <diagonal/>
    </border>
    <border>
      <left style="medium">
        <color indexed="8"/>
      </left>
      <right/>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style="thin">
        <color indexed="64"/>
      </left>
      <right style="medium">
        <color indexed="64"/>
      </right>
      <top style="medium">
        <color indexed="64"/>
      </top>
      <bottom style="thin">
        <color indexed="64"/>
      </bottom>
      <diagonal/>
    </border>
    <border>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right/>
      <top style="medium">
        <color indexed="8"/>
      </top>
      <bottom style="medium">
        <color indexed="64"/>
      </bottom>
      <diagonal/>
    </border>
    <border>
      <left/>
      <right style="medium">
        <color indexed="8"/>
      </right>
      <top style="medium">
        <color indexed="8"/>
      </top>
      <bottom style="medium">
        <color indexed="64"/>
      </bottom>
      <diagonal/>
    </border>
    <border>
      <left style="medium">
        <color indexed="8"/>
      </left>
      <right/>
      <top style="medium">
        <color indexed="8"/>
      </top>
      <bottom style="medium">
        <color indexed="64"/>
      </bottom>
      <diagonal/>
    </border>
    <border>
      <left/>
      <right style="medium">
        <color indexed="64"/>
      </right>
      <top style="medium">
        <color indexed="8"/>
      </top>
      <bottom style="medium">
        <color indexed="64"/>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diagonal/>
    </border>
    <border>
      <left/>
      <right/>
      <top style="thin">
        <color indexed="8"/>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8"/>
      </top>
      <bottom/>
      <diagonal/>
    </border>
    <border>
      <left/>
      <right style="thin">
        <color auto="1"/>
      </right>
      <top style="medium">
        <color indexed="64"/>
      </top>
      <bottom/>
      <diagonal/>
    </border>
    <border>
      <left/>
      <right style="thin">
        <color theme="1"/>
      </right>
      <top/>
      <bottom style="thin">
        <color indexed="64"/>
      </bottom>
      <diagonal/>
    </border>
    <border>
      <left/>
      <right style="thin">
        <color theme="1"/>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8"/>
      </top>
      <bottom style="medium">
        <color indexed="64"/>
      </bottom>
      <diagonal/>
    </border>
    <border>
      <left style="thin">
        <color indexed="64"/>
      </left>
      <right/>
      <top style="thin">
        <color indexed="64"/>
      </top>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right/>
      <top style="thin">
        <color indexed="8"/>
      </top>
      <bottom style="medium">
        <color indexed="64"/>
      </bottom>
      <diagonal/>
    </border>
    <border>
      <left/>
      <right style="medium">
        <color indexed="64"/>
      </right>
      <top style="thin">
        <color indexed="8"/>
      </top>
      <bottom style="medium">
        <color indexed="64"/>
      </bottom>
      <diagonal/>
    </border>
    <border>
      <left style="medium">
        <color indexed="64"/>
      </left>
      <right/>
      <top style="thin">
        <color indexed="8"/>
      </top>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10">
    <xf numFmtId="0" fontId="0" fillId="0" borderId="0"/>
    <xf numFmtId="0" fontId="2" fillId="0" borderId="0" applyNumberFormat="0" applyFont="0" applyFill="0" applyBorder="0" applyAlignment="0" applyProtection="0"/>
    <xf numFmtId="0" fontId="2"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8" fillId="0" borderId="0"/>
    <xf numFmtId="0" fontId="24" fillId="0" borderId="0"/>
    <xf numFmtId="0" fontId="8" fillId="0" borderId="0"/>
  </cellStyleXfs>
  <cellXfs count="336">
    <xf numFmtId="0" fontId="0" fillId="0" borderId="0" xfId="0"/>
    <xf numFmtId="0" fontId="4" fillId="0" borderId="0" xfId="4" applyNumberFormat="1" applyFont="1" applyFill="1" applyBorder="1" applyAlignment="1"/>
    <xf numFmtId="0" fontId="9" fillId="0" borderId="0" xfId="4" applyNumberFormat="1" applyFont="1" applyFill="1" applyBorder="1" applyAlignment="1" applyProtection="1">
      <alignment horizontal="center" vertical="top" wrapText="1"/>
    </xf>
    <xf numFmtId="0" fontId="1" fillId="0" borderId="0" xfId="4" applyFont="1" applyBorder="1" applyAlignment="1">
      <alignment vertical="center" wrapText="1"/>
    </xf>
    <xf numFmtId="0" fontId="1" fillId="0" borderId="0" xfId="4" applyNumberFormat="1" applyFont="1" applyFill="1" applyBorder="1" applyAlignment="1" applyProtection="1">
      <alignment vertical="center" wrapText="1"/>
    </xf>
    <xf numFmtId="0" fontId="7" fillId="0" borderId="0" xfId="4" applyFont="1" applyBorder="1" applyAlignment="1">
      <alignment vertical="center" wrapText="1"/>
    </xf>
    <xf numFmtId="0" fontId="3" fillId="0" borderId="0" xfId="4" applyNumberFormat="1" applyFont="1" applyFill="1" applyBorder="1" applyAlignment="1" applyProtection="1">
      <alignment vertical="center" wrapText="1"/>
    </xf>
    <xf numFmtId="0" fontId="18" fillId="0" borderId="0" xfId="4" applyFont="1" applyBorder="1" applyAlignment="1">
      <alignment vertical="center" wrapText="1"/>
    </xf>
    <xf numFmtId="0" fontId="5" fillId="0" borderId="0" xfId="4" applyNumberFormat="1" applyFont="1" applyFill="1" applyBorder="1" applyAlignment="1" applyProtection="1">
      <alignment horizontal="left" vertical="top" wrapText="1"/>
    </xf>
    <xf numFmtId="0" fontId="19" fillId="0" borderId="0" xfId="4" applyNumberFormat="1" applyFont="1" applyFill="1" applyBorder="1" applyAlignment="1" applyProtection="1">
      <alignment vertical="top" wrapText="1"/>
    </xf>
    <xf numFmtId="0" fontId="18" fillId="0" borderId="0" xfId="4" applyNumberFormat="1" applyFont="1" applyFill="1" applyBorder="1" applyAlignment="1" applyProtection="1">
      <alignment horizontal="center" vertical="center" wrapText="1"/>
    </xf>
    <xf numFmtId="0" fontId="18" fillId="0" borderId="0" xfId="4" applyFont="1" applyBorder="1" applyAlignment="1">
      <alignment horizontal="center" vertical="center" wrapText="1"/>
    </xf>
    <xf numFmtId="0" fontId="18" fillId="0" borderId="0" xfId="4" applyNumberFormat="1" applyFont="1" applyFill="1" applyBorder="1" applyAlignment="1" applyProtection="1">
      <alignment vertical="center" wrapText="1"/>
    </xf>
    <xf numFmtId="0" fontId="15" fillId="0" borderId="12" xfId="4" applyNumberFormat="1" applyFont="1" applyFill="1" applyBorder="1" applyAlignment="1" applyProtection="1">
      <alignment vertical="top"/>
    </xf>
    <xf numFmtId="0" fontId="15" fillId="0" borderId="68" xfId="4" applyNumberFormat="1" applyFont="1" applyFill="1" applyBorder="1" applyAlignment="1" applyProtection="1">
      <alignment vertical="top"/>
    </xf>
    <xf numFmtId="0" fontId="16" fillId="0" borderId="54" xfId="4" applyNumberFormat="1" applyFont="1" applyFill="1" applyBorder="1" applyAlignment="1" applyProtection="1">
      <alignment vertical="top"/>
    </xf>
    <xf numFmtId="0" fontId="4" fillId="0" borderId="0" xfId="4" applyNumberFormat="1" applyFont="1" applyFill="1" applyBorder="1" applyAlignment="1"/>
    <xf numFmtId="0" fontId="11" fillId="0" borderId="0" xfId="4" applyNumberFormat="1" applyFont="1" applyFill="1" applyBorder="1" applyAlignment="1"/>
    <xf numFmtId="0" fontId="18" fillId="0" borderId="0" xfId="4" applyNumberFormat="1" applyFont="1" applyFill="1" applyBorder="1" applyAlignment="1" applyProtection="1">
      <alignment horizontal="right" vertical="center" wrapText="1"/>
    </xf>
    <xf numFmtId="0" fontId="18" fillId="0" borderId="0" xfId="4" applyFont="1" applyBorder="1" applyAlignment="1">
      <alignment horizontal="right" vertical="center" wrapText="1"/>
    </xf>
    <xf numFmtId="0" fontId="14" fillId="0" borderId="0" xfId="4" applyNumberFormat="1" applyFont="1" applyFill="1" applyBorder="1" applyAlignment="1" applyProtection="1">
      <alignment horizontal="right" vertical="center" wrapText="1"/>
    </xf>
    <xf numFmtId="0" fontId="11" fillId="0" borderId="0" xfId="4" applyNumberFormat="1" applyFont="1" applyFill="1" applyBorder="1" applyAlignment="1"/>
    <xf numFmtId="0" fontId="13" fillId="0" borderId="0" xfId="4" applyNumberFormat="1" applyFont="1" applyFill="1" applyBorder="1" applyAlignment="1"/>
    <xf numFmtId="0" fontId="14" fillId="0" borderId="0" xfId="4" applyNumberFormat="1" applyFont="1" applyFill="1" applyBorder="1" applyAlignment="1" applyProtection="1">
      <alignment horizontal="left" vertical="top" wrapText="1"/>
    </xf>
    <xf numFmtId="0" fontId="14" fillId="0" borderId="0" xfId="4" applyNumberFormat="1" applyFont="1" applyFill="1" applyBorder="1" applyAlignment="1"/>
    <xf numFmtId="0" fontId="14" fillId="0" borderId="0" xfId="4" applyNumberFormat="1" applyFont="1" applyFill="1" applyBorder="1" applyAlignment="1">
      <alignment horizontal="right"/>
    </xf>
    <xf numFmtId="0" fontId="14" fillId="0" borderId="0" xfId="4" applyFont="1" applyBorder="1" applyAlignment="1">
      <alignment vertical="center" wrapText="1"/>
    </xf>
    <xf numFmtId="0" fontId="28" fillId="0" borderId="0" xfId="4" applyNumberFormat="1" applyFont="1" applyFill="1" applyBorder="1" applyAlignment="1" applyProtection="1">
      <alignment vertical="center" wrapText="1"/>
    </xf>
    <xf numFmtId="0" fontId="14" fillId="0" borderId="0" xfId="4" applyFont="1" applyBorder="1" applyAlignment="1">
      <alignment horizontal="center" vertical="center" wrapText="1"/>
    </xf>
    <xf numFmtId="0" fontId="14" fillId="0" borderId="0" xfId="4" applyNumberFormat="1" applyFont="1" applyFill="1" applyBorder="1" applyAlignment="1">
      <alignment horizontal="center"/>
    </xf>
    <xf numFmtId="0" fontId="14" fillId="0" borderId="0" xfId="4" applyNumberFormat="1" applyFont="1" applyFill="1" applyBorder="1" applyAlignment="1" applyProtection="1">
      <alignment vertical="top" wrapText="1"/>
    </xf>
    <xf numFmtId="0" fontId="21" fillId="0" borderId="0" xfId="4" applyNumberFormat="1" applyFont="1" applyFill="1" applyBorder="1" applyAlignment="1" applyProtection="1">
      <alignment horizontal="center" vertical="top"/>
    </xf>
    <xf numFmtId="0" fontId="16" fillId="0" borderId="114" xfId="4" applyNumberFormat="1" applyFont="1" applyFill="1" applyBorder="1" applyAlignment="1" applyProtection="1">
      <alignment vertical="top"/>
    </xf>
    <xf numFmtId="0" fontId="11" fillId="0" borderId="0" xfId="4" applyNumberFormat="1" applyFont="1" applyFill="1" applyBorder="1" applyAlignment="1">
      <alignment horizontal="left"/>
    </xf>
    <xf numFmtId="0" fontId="14" fillId="0" borderId="0" xfId="4" applyNumberFormat="1" applyFont="1" applyFill="1" applyBorder="1" applyAlignment="1" applyProtection="1">
      <alignment vertical="center"/>
    </xf>
    <xf numFmtId="0" fontId="11" fillId="0" borderId="12" xfId="4" applyNumberFormat="1" applyFont="1" applyFill="1" applyBorder="1" applyAlignment="1"/>
    <xf numFmtId="0" fontId="17" fillId="0" borderId="26" xfId="4" applyFont="1" applyBorder="1" applyAlignment="1"/>
    <xf numFmtId="0" fontId="17" fillId="0" borderId="45" xfId="4" applyFont="1" applyBorder="1" applyAlignment="1"/>
    <xf numFmtId="0" fontId="17" fillId="0" borderId="46" xfId="4" applyFont="1" applyBorder="1" applyAlignment="1"/>
    <xf numFmtId="0" fontId="22" fillId="3" borderId="19" xfId="4" applyFont="1" applyFill="1" applyBorder="1" applyAlignment="1">
      <alignment horizontal="left" vertical="center" wrapText="1"/>
    </xf>
    <xf numFmtId="0" fontId="22" fillId="3" borderId="1" xfId="4" applyFont="1" applyFill="1" applyBorder="1" applyAlignment="1">
      <alignment horizontal="left" vertical="center" wrapText="1"/>
    </xf>
    <xf numFmtId="0" fontId="22" fillId="3" borderId="14" xfId="4" applyFont="1" applyFill="1" applyBorder="1" applyAlignment="1">
      <alignment horizontal="left" vertical="center" wrapText="1"/>
    </xf>
    <xf numFmtId="0" fontId="21" fillId="0" borderId="0" xfId="4" applyNumberFormat="1" applyFont="1" applyFill="1" applyBorder="1" applyAlignment="1" applyProtection="1">
      <alignment vertical="top" wrapText="1"/>
    </xf>
    <xf numFmtId="0" fontId="13" fillId="0" borderId="115" xfId="4" applyNumberFormat="1" applyFont="1" applyFill="1" applyBorder="1" applyAlignment="1"/>
    <xf numFmtId="0" fontId="26" fillId="0" borderId="92" xfId="4" applyNumberFormat="1" applyFont="1" applyFill="1" applyBorder="1" applyAlignment="1" applyProtection="1">
      <alignment horizontal="center" vertical="center" wrapText="1"/>
    </xf>
    <xf numFmtId="0" fontId="26" fillId="0" borderId="59" xfId="4" applyNumberFormat="1" applyFont="1" applyFill="1" applyBorder="1" applyAlignment="1" applyProtection="1">
      <alignment horizontal="center" vertical="center" wrapText="1"/>
    </xf>
    <xf numFmtId="0" fontId="26" fillId="0" borderId="36" xfId="4" applyNumberFormat="1" applyFont="1" applyFill="1" applyBorder="1" applyAlignment="1" applyProtection="1">
      <alignment horizontal="center" vertical="center" wrapText="1"/>
    </xf>
    <xf numFmtId="0" fontId="31" fillId="0" borderId="42" xfId="4" applyNumberFormat="1" applyFont="1" applyFill="1" applyBorder="1" applyAlignment="1" applyProtection="1">
      <alignment horizontal="center" vertical="center" wrapText="1"/>
    </xf>
    <xf numFmtId="0" fontId="31" fillId="0" borderId="43" xfId="4" applyNumberFormat="1" applyFont="1" applyFill="1" applyBorder="1" applyAlignment="1" applyProtection="1">
      <alignment horizontal="center" vertical="center" wrapText="1"/>
    </xf>
    <xf numFmtId="0" fontId="10" fillId="0" borderId="0" xfId="4" applyFont="1" applyBorder="1" applyAlignment="1">
      <alignment horizontal="center" vertical="center" wrapText="1"/>
    </xf>
    <xf numFmtId="164" fontId="12" fillId="0" borderId="0" xfId="4" applyNumberFormat="1" applyFont="1" applyBorder="1" applyAlignment="1">
      <alignment horizontal="center" vertical="center" wrapText="1"/>
    </xf>
    <xf numFmtId="0" fontId="12" fillId="0" borderId="0" xfId="4" applyFont="1" applyBorder="1" applyAlignment="1">
      <alignment horizontal="center" vertical="center" wrapText="1"/>
    </xf>
    <xf numFmtId="0" fontId="6" fillId="0" borderId="0" xfId="4" applyFont="1" applyBorder="1" applyAlignment="1">
      <alignment horizontal="left" vertical="top" wrapText="1"/>
    </xf>
    <xf numFmtId="0" fontId="6" fillId="0" borderId="0" xfId="4" applyNumberFormat="1" applyFont="1" applyFill="1" applyBorder="1" applyAlignment="1" applyProtection="1">
      <alignment horizontal="left" vertical="top" wrapText="1"/>
    </xf>
    <xf numFmtId="0" fontId="6" fillId="0" borderId="63" xfId="4" applyFont="1" applyBorder="1" applyAlignment="1">
      <alignment horizontal="left" vertical="top" wrapText="1"/>
    </xf>
    <xf numFmtId="0" fontId="6" fillId="0" borderId="63" xfId="4" applyNumberFormat="1" applyFont="1" applyFill="1" applyBorder="1" applyAlignment="1" applyProtection="1">
      <alignment horizontal="left" vertical="top" wrapText="1"/>
    </xf>
    <xf numFmtId="0" fontId="31" fillId="0" borderId="57" xfId="4" applyNumberFormat="1" applyFont="1" applyFill="1" applyBorder="1" applyAlignment="1" applyProtection="1">
      <alignment horizontal="center" vertical="center" wrapText="1"/>
    </xf>
    <xf numFmtId="0" fontId="5" fillId="0" borderId="82" xfId="4" applyNumberFormat="1" applyFont="1" applyFill="1" applyBorder="1" applyAlignment="1" applyProtection="1">
      <alignment horizontal="center" vertical="top" wrapText="1"/>
    </xf>
    <xf numFmtId="0" fontId="5" fillId="0" borderId="81" xfId="4" applyNumberFormat="1" applyFont="1" applyFill="1" applyBorder="1" applyAlignment="1" applyProtection="1">
      <alignment horizontal="center" vertical="top" wrapText="1"/>
    </xf>
    <xf numFmtId="0" fontId="5" fillId="0" borderId="107" xfId="4" applyNumberFormat="1" applyFont="1" applyFill="1" applyBorder="1" applyAlignment="1" applyProtection="1">
      <alignment horizontal="center" vertical="top" wrapText="1"/>
    </xf>
    <xf numFmtId="0" fontId="5" fillId="0" borderId="101" xfId="4" applyNumberFormat="1" applyFont="1" applyFill="1" applyBorder="1" applyAlignment="1" applyProtection="1">
      <alignment horizontal="center" vertical="top" wrapText="1"/>
    </xf>
    <xf numFmtId="0" fontId="5" fillId="0" borderId="7" xfId="4" applyNumberFormat="1" applyFont="1" applyFill="1" applyBorder="1" applyAlignment="1" applyProtection="1">
      <alignment horizontal="center" vertical="top" wrapText="1"/>
    </xf>
    <xf numFmtId="0" fontId="5" fillId="0" borderId="10" xfId="4" applyNumberFormat="1" applyFont="1" applyFill="1" applyBorder="1" applyAlignment="1" applyProtection="1">
      <alignment horizontal="center" vertical="top" wrapText="1"/>
    </xf>
    <xf numFmtId="0" fontId="5" fillId="0" borderId="82" xfId="4" applyNumberFormat="1" applyFont="1" applyFill="1" applyBorder="1" applyAlignment="1" applyProtection="1">
      <alignment horizontal="center" vertical="center" wrapText="1"/>
    </xf>
    <xf numFmtId="0" fontId="5" fillId="0" borderId="90" xfId="4" applyNumberFormat="1" applyFont="1" applyFill="1" applyBorder="1" applyAlignment="1" applyProtection="1">
      <alignment horizontal="center" vertical="center" wrapText="1"/>
    </xf>
    <xf numFmtId="0" fontId="5" fillId="0" borderId="51" xfId="4" applyNumberFormat="1" applyFont="1" applyFill="1" applyBorder="1" applyAlignment="1" applyProtection="1">
      <alignment horizontal="center" vertical="center" wrapText="1"/>
    </xf>
    <xf numFmtId="0" fontId="5" fillId="0" borderId="68" xfId="4" applyNumberFormat="1" applyFont="1" applyFill="1" applyBorder="1" applyAlignment="1" applyProtection="1">
      <alignment horizontal="center" vertical="center" wrapText="1"/>
    </xf>
    <xf numFmtId="0" fontId="5" fillId="0" borderId="81" xfId="4" applyNumberFormat="1" applyFont="1" applyFill="1" applyBorder="1" applyAlignment="1" applyProtection="1">
      <alignment horizontal="center" vertical="center" wrapText="1"/>
    </xf>
    <xf numFmtId="0" fontId="5" fillId="0" borderId="107" xfId="4" applyNumberFormat="1" applyFont="1" applyFill="1" applyBorder="1" applyAlignment="1" applyProtection="1">
      <alignment horizontal="center" vertical="center" wrapText="1"/>
    </xf>
    <xf numFmtId="0" fontId="5" fillId="0" borderId="14" xfId="4" applyNumberFormat="1" applyFont="1" applyFill="1" applyBorder="1" applyAlignment="1" applyProtection="1">
      <alignment horizontal="center" vertical="center" wrapText="1"/>
    </xf>
    <xf numFmtId="0" fontId="5" fillId="0" borderId="80" xfId="4" applyNumberFormat="1" applyFont="1" applyFill="1" applyBorder="1" applyAlignment="1" applyProtection="1">
      <alignment horizontal="center" vertical="center" wrapText="1"/>
    </xf>
    <xf numFmtId="0" fontId="5" fillId="0" borderId="74" xfId="4" applyNumberFormat="1" applyFont="1" applyFill="1" applyBorder="1" applyAlignment="1" applyProtection="1">
      <alignment horizontal="center" vertical="center" wrapText="1"/>
    </xf>
    <xf numFmtId="0" fontId="5" fillId="0" borderId="101" xfId="4" applyNumberFormat="1" applyFont="1" applyFill="1" applyBorder="1" applyAlignment="1" applyProtection="1">
      <alignment horizontal="center" vertical="center" wrapText="1"/>
    </xf>
    <xf numFmtId="0" fontId="5" fillId="0" borderId="111" xfId="4" applyNumberFormat="1" applyFont="1" applyFill="1" applyBorder="1" applyAlignment="1" applyProtection="1">
      <alignment horizontal="center" vertical="center" wrapText="1"/>
    </xf>
    <xf numFmtId="0" fontId="5" fillId="0" borderId="39" xfId="4" applyNumberFormat="1" applyFont="1" applyFill="1" applyBorder="1" applyAlignment="1" applyProtection="1">
      <alignment horizontal="center" vertical="center" wrapText="1"/>
    </xf>
    <xf numFmtId="0" fontId="5" fillId="0" borderId="119" xfId="4" applyNumberFormat="1" applyFont="1" applyFill="1" applyBorder="1" applyAlignment="1" applyProtection="1">
      <alignment horizontal="center" vertical="center" wrapText="1"/>
    </xf>
    <xf numFmtId="0" fontId="5" fillId="0" borderId="110" xfId="4" applyNumberFormat="1" applyFont="1" applyFill="1" applyBorder="1" applyAlignment="1" applyProtection="1">
      <alignment horizontal="center" vertical="center" wrapText="1"/>
    </xf>
    <xf numFmtId="0" fontId="5" fillId="0" borderId="15" xfId="4" applyNumberFormat="1" applyFont="1" applyFill="1" applyBorder="1" applyAlignment="1" applyProtection="1">
      <alignment horizontal="center" vertical="center" wrapText="1"/>
    </xf>
    <xf numFmtId="0" fontId="5" fillId="0" borderId="37" xfId="4" applyNumberFormat="1" applyFont="1" applyFill="1" applyBorder="1" applyAlignment="1" applyProtection="1">
      <alignment horizontal="center" vertical="center" wrapText="1"/>
    </xf>
    <xf numFmtId="0" fontId="5" fillId="0" borderId="7" xfId="4" applyNumberFormat="1" applyFont="1" applyFill="1" applyBorder="1" applyAlignment="1" applyProtection="1">
      <alignment horizontal="center" vertical="center" wrapText="1"/>
    </xf>
    <xf numFmtId="0" fontId="5" fillId="0" borderId="11" xfId="4" applyNumberFormat="1" applyFont="1" applyFill="1" applyBorder="1" applyAlignment="1" applyProtection="1">
      <alignment horizontal="center" vertical="center" wrapText="1"/>
    </xf>
    <xf numFmtId="0" fontId="5" fillId="0" borderId="10" xfId="4" applyNumberFormat="1" applyFont="1" applyFill="1" applyBorder="1" applyAlignment="1" applyProtection="1">
      <alignment horizontal="center" vertical="center" wrapText="1"/>
    </xf>
    <xf numFmtId="0" fontId="33" fillId="0" borderId="14" xfId="4" applyFont="1" applyBorder="1" applyAlignment="1">
      <alignment horizontal="center" vertical="center" wrapText="1"/>
    </xf>
    <xf numFmtId="0" fontId="18" fillId="0" borderId="0" xfId="4" applyNumberFormat="1" applyFont="1" applyFill="1" applyBorder="1" applyAlignment="1" applyProtection="1">
      <alignment horizontal="justify" vertical="top" wrapText="1"/>
    </xf>
    <xf numFmtId="0" fontId="14" fillId="0" borderId="0" xfId="4" applyNumberFormat="1" applyFont="1" applyFill="1" applyBorder="1" applyAlignment="1"/>
    <xf numFmtId="0" fontId="20" fillId="0" borderId="47" xfId="4" applyFont="1" applyBorder="1" applyAlignment="1">
      <alignment horizontal="left" vertical="center"/>
    </xf>
    <xf numFmtId="0" fontId="20" fillId="0" borderId="20" xfId="4" applyFont="1" applyBorder="1" applyAlignment="1">
      <alignment horizontal="left" vertical="center"/>
    </xf>
    <xf numFmtId="0" fontId="20" fillId="0" borderId="48" xfId="4" applyFont="1" applyBorder="1" applyAlignment="1">
      <alignment horizontal="left" vertical="center"/>
    </xf>
    <xf numFmtId="0" fontId="20" fillId="0" borderId="47" xfId="4" applyFont="1" applyBorder="1" applyAlignment="1">
      <alignment horizontal="left" vertical="center" wrapText="1" indent="1"/>
    </xf>
    <xf numFmtId="0" fontId="20" fillId="0" borderId="20" xfId="4" applyFont="1" applyBorder="1" applyAlignment="1">
      <alignment horizontal="left" vertical="center" wrapText="1" indent="1"/>
    </xf>
    <xf numFmtId="0" fontId="20" fillId="0" borderId="48" xfId="4" applyFont="1" applyBorder="1" applyAlignment="1">
      <alignment horizontal="left" vertical="center" wrapText="1" indent="1"/>
    </xf>
    <xf numFmtId="0" fontId="18" fillId="0" borderId="0" xfId="4" applyNumberFormat="1" applyFont="1" applyFill="1" applyBorder="1" applyAlignment="1" applyProtection="1">
      <alignment horizontal="center" vertical="top" wrapText="1"/>
    </xf>
    <xf numFmtId="0" fontId="20" fillId="0" borderId="12" xfId="4" applyFont="1" applyBorder="1" applyAlignment="1">
      <alignment horizontal="left" wrapText="1"/>
    </xf>
    <xf numFmtId="0" fontId="20" fillId="0" borderId="0" xfId="4" applyFont="1" applyBorder="1" applyAlignment="1">
      <alignment horizontal="left" wrapText="1"/>
    </xf>
    <xf numFmtId="0" fontId="20" fillId="0" borderId="13" xfId="4" applyFont="1" applyBorder="1" applyAlignment="1">
      <alignment horizontal="left" wrapText="1"/>
    </xf>
    <xf numFmtId="0" fontId="14" fillId="0" borderId="30" xfId="4" applyNumberFormat="1" applyFont="1" applyFill="1" applyBorder="1" applyAlignment="1" applyProtection="1">
      <alignment horizontal="center" vertical="top"/>
    </xf>
    <xf numFmtId="0" fontId="13" fillId="0" borderId="12" xfId="4" applyFont="1" applyBorder="1" applyAlignment="1">
      <alignment horizontal="left" vertical="top" wrapText="1"/>
    </xf>
    <xf numFmtId="0" fontId="13" fillId="0" borderId="0" xfId="4" applyFont="1" applyBorder="1" applyAlignment="1">
      <alignment horizontal="left" vertical="top" wrapText="1"/>
    </xf>
    <xf numFmtId="0" fontId="13" fillId="0" borderId="13" xfId="4" applyFont="1" applyBorder="1" applyAlignment="1">
      <alignment horizontal="left" vertical="top" wrapText="1"/>
    </xf>
    <xf numFmtId="0" fontId="23" fillId="0" borderId="31" xfId="4" applyFont="1" applyBorder="1" applyAlignment="1">
      <alignment horizontal="center" wrapText="1"/>
    </xf>
    <xf numFmtId="0" fontId="20" fillId="0" borderId="10" xfId="4" applyFont="1" applyBorder="1" applyAlignment="1">
      <alignment horizontal="left" vertical="center" wrapText="1" indent="1"/>
    </xf>
    <xf numFmtId="0" fontId="20" fillId="0" borderId="7" xfId="4" applyFont="1" applyBorder="1" applyAlignment="1">
      <alignment horizontal="left" vertical="center" wrapText="1" indent="1"/>
    </xf>
    <xf numFmtId="0" fontId="20" fillId="0" borderId="11" xfId="4" applyFont="1" applyBorder="1" applyAlignment="1">
      <alignment horizontal="left" vertical="center" wrapText="1" indent="1"/>
    </xf>
    <xf numFmtId="0" fontId="14" fillId="0" borderId="0" xfId="4" applyNumberFormat="1" applyFont="1" applyFill="1" applyBorder="1" applyAlignment="1" applyProtection="1">
      <alignment horizontal="left" vertical="top" wrapText="1"/>
    </xf>
    <xf numFmtId="0" fontId="20" fillId="0" borderId="12" xfId="4" applyFont="1" applyBorder="1" applyAlignment="1">
      <alignment horizontal="left"/>
    </xf>
    <xf numFmtId="0" fontId="20" fillId="0" borderId="0" xfId="4" applyFont="1" applyBorder="1" applyAlignment="1">
      <alignment horizontal="left"/>
    </xf>
    <xf numFmtId="0" fontId="20" fillId="0" borderId="115" xfId="4" applyFont="1" applyBorder="1" applyAlignment="1">
      <alignment horizontal="left"/>
    </xf>
    <xf numFmtId="0" fontId="23" fillId="0" borderId="56" xfId="4" applyNumberFormat="1" applyFont="1" applyFill="1" applyBorder="1" applyAlignment="1">
      <alignment horizontal="center"/>
    </xf>
    <xf numFmtId="0" fontId="18" fillId="0" borderId="0" xfId="4" applyNumberFormat="1" applyFont="1" applyFill="1" applyBorder="1" applyAlignment="1" applyProtection="1">
      <alignment horizontal="left" vertical="center" wrapText="1"/>
    </xf>
    <xf numFmtId="0" fontId="18" fillId="0" borderId="3" xfId="4" applyFont="1" applyBorder="1" applyAlignment="1">
      <alignment horizontal="center" wrapText="1"/>
    </xf>
    <xf numFmtId="0" fontId="17" fillId="0" borderId="38" xfId="4" applyFont="1" applyBorder="1" applyAlignment="1">
      <alignment horizontal="left" vertical="center" wrapText="1"/>
    </xf>
    <xf numFmtId="0" fontId="17" fillId="0" borderId="1" xfId="4" applyFont="1" applyBorder="1" applyAlignment="1">
      <alignment horizontal="left" vertical="center" wrapText="1"/>
    </xf>
    <xf numFmtId="0" fontId="17" fillId="0" borderId="14" xfId="4" applyFont="1" applyBorder="1" applyAlignment="1">
      <alignment horizontal="left" vertical="center" wrapText="1"/>
    </xf>
    <xf numFmtId="0" fontId="14" fillId="0" borderId="0" xfId="4" applyNumberFormat="1" applyFont="1" applyFill="1" applyBorder="1" applyAlignment="1">
      <alignment vertical="top"/>
    </xf>
    <xf numFmtId="0" fontId="18" fillId="0" borderId="0" xfId="4" applyNumberFormat="1" applyFont="1" applyFill="1" applyBorder="1" applyAlignment="1" applyProtection="1">
      <alignment horizontal="center" vertical="center" wrapText="1"/>
    </xf>
    <xf numFmtId="0" fontId="32" fillId="3" borderId="38" xfId="4" applyFont="1" applyFill="1" applyBorder="1" applyAlignment="1">
      <alignment horizontal="center" vertical="center" wrapText="1"/>
    </xf>
    <xf numFmtId="0" fontId="32" fillId="3" borderId="1" xfId="4" applyFont="1" applyFill="1" applyBorder="1" applyAlignment="1">
      <alignment horizontal="center" vertical="center" wrapText="1"/>
    </xf>
    <xf numFmtId="0" fontId="32" fillId="3" borderId="14" xfId="4" applyFont="1" applyFill="1" applyBorder="1" applyAlignment="1">
      <alignment horizontal="center" vertical="center" wrapText="1"/>
    </xf>
    <xf numFmtId="0" fontId="18" fillId="0" borderId="0" xfId="4" applyNumberFormat="1" applyFont="1" applyFill="1" applyBorder="1" applyAlignment="1" applyProtection="1">
      <alignment horizontal="left" vertical="top" wrapText="1"/>
    </xf>
    <xf numFmtId="0" fontId="13" fillId="0" borderId="12" xfId="4" applyFont="1" applyBorder="1" applyAlignment="1">
      <alignment horizontal="center" vertical="top" wrapText="1"/>
    </xf>
    <xf numFmtId="0" fontId="13" fillId="0" borderId="0" xfId="4" applyFont="1" applyBorder="1" applyAlignment="1">
      <alignment horizontal="center" vertical="top" wrapText="1"/>
    </xf>
    <xf numFmtId="0" fontId="13" fillId="0" borderId="13" xfId="4" applyFont="1" applyBorder="1" applyAlignment="1">
      <alignment horizontal="center" vertical="top" wrapText="1"/>
    </xf>
    <xf numFmtId="0" fontId="17" fillId="0" borderId="25" xfId="4" applyFont="1" applyBorder="1" applyAlignment="1">
      <alignment horizontal="left" vertical="center" wrapText="1"/>
    </xf>
    <xf numFmtId="0" fontId="17" fillId="0" borderId="27" xfId="4" applyFont="1" applyBorder="1" applyAlignment="1">
      <alignment horizontal="left" vertical="center" wrapText="1"/>
    </xf>
    <xf numFmtId="0" fontId="17" fillId="0" borderId="44" xfId="4" applyFont="1" applyBorder="1" applyAlignment="1">
      <alignment horizontal="left" vertical="center" wrapText="1"/>
    </xf>
    <xf numFmtId="0" fontId="18" fillId="0" borderId="0" xfId="4" applyFont="1" applyBorder="1" applyAlignment="1">
      <alignment horizontal="center" wrapText="1"/>
    </xf>
    <xf numFmtId="0" fontId="20" fillId="0" borderId="12" xfId="4" applyFont="1" applyBorder="1" applyAlignment="1">
      <alignment horizontal="left" vertical="center" wrapText="1"/>
    </xf>
    <xf numFmtId="0" fontId="20" fillId="0" borderId="0" xfId="4" applyFont="1" applyBorder="1" applyAlignment="1">
      <alignment horizontal="left" vertical="center" wrapText="1"/>
    </xf>
    <xf numFmtId="0" fontId="20" fillId="0" borderId="13" xfId="4" applyFont="1" applyBorder="1" applyAlignment="1">
      <alignment horizontal="left" vertical="center" wrapText="1"/>
    </xf>
    <xf numFmtId="0" fontId="17" fillId="0" borderId="26" xfId="4" applyFont="1" applyBorder="1" applyAlignment="1">
      <alignment horizontal="left" wrapText="1"/>
    </xf>
    <xf numFmtId="0" fontId="17" fillId="0" borderId="45" xfId="4" applyFont="1" applyBorder="1" applyAlignment="1">
      <alignment horizontal="left" wrapText="1"/>
    </xf>
    <xf numFmtId="0" fontId="17" fillId="0" borderId="46" xfId="4" applyFont="1" applyBorder="1" applyAlignment="1">
      <alignment horizontal="left" wrapText="1"/>
    </xf>
    <xf numFmtId="0" fontId="20" fillId="0" borderId="0" xfId="4" applyNumberFormat="1" applyFont="1" applyFill="1" applyBorder="1" applyAlignment="1" applyProtection="1">
      <alignment horizontal="left" vertical="center" wrapText="1"/>
    </xf>
    <xf numFmtId="0" fontId="20" fillId="0" borderId="67" xfId="4" applyFont="1" applyBorder="1" applyAlignment="1">
      <alignment horizontal="left" vertical="center" wrapText="1"/>
    </xf>
    <xf numFmtId="0" fontId="20" fillId="0" borderId="63" xfId="4" applyFont="1" applyBorder="1" applyAlignment="1">
      <alignment horizontal="left" vertical="center" wrapText="1"/>
    </xf>
    <xf numFmtId="0" fontId="20" fillId="0" borderId="113" xfId="4" applyFont="1" applyBorder="1" applyAlignment="1">
      <alignment horizontal="left" vertical="center" wrapText="1"/>
    </xf>
    <xf numFmtId="0" fontId="31" fillId="0" borderId="81" xfId="4" applyFont="1" applyBorder="1" applyAlignment="1">
      <alignment horizontal="center" vertical="center" wrapText="1"/>
    </xf>
    <xf numFmtId="0" fontId="31" fillId="0" borderId="64" xfId="4" applyFont="1" applyBorder="1" applyAlignment="1">
      <alignment horizontal="center" vertical="center" wrapText="1"/>
    </xf>
    <xf numFmtId="0" fontId="31" fillId="0" borderId="90" xfId="4" applyFont="1" applyBorder="1" applyAlignment="1">
      <alignment horizontal="center" vertical="center" wrapText="1"/>
    </xf>
    <xf numFmtId="0" fontId="30" fillId="0" borderId="69" xfId="4" applyFont="1" applyBorder="1" applyAlignment="1">
      <alignment horizontal="center" vertical="top" wrapText="1"/>
    </xf>
    <xf numFmtId="0" fontId="30" fillId="0" borderId="90" xfId="4" applyFont="1" applyBorder="1" applyAlignment="1">
      <alignment horizontal="center" vertical="top" wrapText="1"/>
    </xf>
    <xf numFmtId="0" fontId="20" fillId="0" borderId="63" xfId="4" applyFont="1" applyBorder="1" applyAlignment="1">
      <alignment horizontal="center" vertical="center" wrapText="1"/>
    </xf>
    <xf numFmtId="0" fontId="20" fillId="0" borderId="65" xfId="4" applyFont="1" applyBorder="1" applyAlignment="1">
      <alignment horizontal="center" vertical="center" wrapText="1"/>
    </xf>
    <xf numFmtId="0" fontId="33" fillId="0" borderId="28" xfId="4" applyFont="1" applyBorder="1" applyAlignment="1">
      <alignment horizontal="center" vertical="center" wrapText="1"/>
    </xf>
    <xf numFmtId="0" fontId="33" fillId="0" borderId="49" xfId="4" applyFont="1" applyBorder="1" applyAlignment="1">
      <alignment horizontal="center" vertical="center" wrapText="1"/>
    </xf>
    <xf numFmtId="0" fontId="33" fillId="0" borderId="58" xfId="4" applyFont="1" applyBorder="1" applyAlignment="1">
      <alignment horizontal="center" vertical="center" wrapText="1"/>
    </xf>
    <xf numFmtId="0" fontId="33" fillId="0" borderId="29" xfId="4" applyFont="1" applyBorder="1" applyAlignment="1">
      <alignment horizontal="center" vertical="center" wrapText="1"/>
    </xf>
    <xf numFmtId="0" fontId="33" fillId="0" borderId="109" xfId="4" applyFont="1" applyBorder="1" applyAlignment="1">
      <alignment horizontal="center" vertical="center" wrapText="1"/>
    </xf>
    <xf numFmtId="0" fontId="33" fillId="0" borderId="112" xfId="4" applyFont="1" applyBorder="1" applyAlignment="1">
      <alignment horizontal="center" vertical="center" wrapText="1"/>
    </xf>
    <xf numFmtId="164" fontId="12" fillId="0" borderId="28" xfId="4" applyNumberFormat="1" applyFont="1" applyBorder="1" applyAlignment="1">
      <alignment horizontal="center" vertical="center" wrapText="1"/>
    </xf>
    <xf numFmtId="164" fontId="12" fillId="0" borderId="17" xfId="4" applyNumberFormat="1" applyFont="1" applyBorder="1" applyAlignment="1">
      <alignment horizontal="center" vertical="center" wrapText="1"/>
    </xf>
    <xf numFmtId="0" fontId="12" fillId="0" borderId="16" xfId="4" applyFont="1" applyBorder="1" applyAlignment="1">
      <alignment horizontal="center" vertical="center" wrapText="1"/>
    </xf>
    <xf numFmtId="0" fontId="12" fillId="0" borderId="9" xfId="4" applyFont="1" applyBorder="1" applyAlignment="1">
      <alignment horizontal="center" vertical="center" wrapText="1"/>
    </xf>
    <xf numFmtId="0" fontId="5" fillId="0" borderId="7" xfId="4" applyFont="1" applyBorder="1" applyAlignment="1">
      <alignment horizontal="center" vertical="top" wrapText="1"/>
    </xf>
    <xf numFmtId="0" fontId="5" fillId="0" borderId="11" xfId="4" applyFont="1" applyBorder="1" applyAlignment="1">
      <alignment horizontal="center" vertical="top" wrapText="1"/>
    </xf>
    <xf numFmtId="0" fontId="33" fillId="0" borderId="102" xfId="4" applyFont="1" applyBorder="1" applyAlignment="1">
      <alignment horizontal="center" vertical="center" wrapText="1"/>
    </xf>
    <xf numFmtId="0" fontId="33" fillId="0" borderId="103" xfId="4" applyFont="1" applyBorder="1" applyAlignment="1">
      <alignment horizontal="center" vertical="center" wrapText="1"/>
    </xf>
    <xf numFmtId="0" fontId="33" fillId="0" borderId="104" xfId="4" applyFont="1" applyBorder="1" applyAlignment="1">
      <alignment horizontal="center" vertical="center" wrapText="1"/>
    </xf>
    <xf numFmtId="164" fontId="12" fillId="0" borderId="105" xfId="4" applyNumberFormat="1" applyFont="1" applyBorder="1" applyAlignment="1">
      <alignment horizontal="center" vertical="center" wrapText="1"/>
    </xf>
    <xf numFmtId="164" fontId="12" fillId="0" borderId="106" xfId="4" applyNumberFormat="1" applyFont="1" applyBorder="1" applyAlignment="1">
      <alignment horizontal="center" vertical="center" wrapText="1"/>
    </xf>
    <xf numFmtId="0" fontId="5" fillId="0" borderId="103" xfId="4" applyFont="1" applyBorder="1" applyAlignment="1">
      <alignment horizontal="left" vertical="center" wrapText="1"/>
    </xf>
    <xf numFmtId="0" fontId="5" fillId="0" borderId="102" xfId="4" applyFont="1" applyBorder="1" applyAlignment="1">
      <alignment horizontal="left" vertical="center" wrapText="1"/>
    </xf>
    <xf numFmtId="0" fontId="5" fillId="0" borderId="101" xfId="4" applyFont="1" applyBorder="1" applyAlignment="1">
      <alignment horizontal="center" vertical="top" wrapText="1"/>
    </xf>
    <xf numFmtId="0" fontId="5" fillId="0" borderId="107" xfId="4" applyFont="1" applyBorder="1" applyAlignment="1">
      <alignment horizontal="center" vertical="top" wrapText="1"/>
    </xf>
    <xf numFmtId="0" fontId="5" fillId="0" borderId="14" xfId="4" applyFont="1" applyBorder="1" applyAlignment="1">
      <alignment horizontal="center" vertical="top" wrapText="1"/>
    </xf>
    <xf numFmtId="0" fontId="5" fillId="0" borderId="82" xfId="4" applyFont="1" applyBorder="1" applyAlignment="1">
      <alignment horizontal="center" vertical="top" wrapText="1"/>
    </xf>
    <xf numFmtId="0" fontId="5" fillId="0" borderId="90" xfId="4" applyFont="1" applyBorder="1" applyAlignment="1">
      <alignment horizontal="center" vertical="top" wrapText="1"/>
    </xf>
    <xf numFmtId="0" fontId="5" fillId="0" borderId="107" xfId="4" applyFont="1" applyBorder="1" applyAlignment="1">
      <alignment horizontal="center" vertical="center" wrapText="1"/>
    </xf>
    <xf numFmtId="0" fontId="5" fillId="0" borderId="14" xfId="4" applyFont="1" applyBorder="1" applyAlignment="1">
      <alignment horizontal="center" vertical="center" wrapText="1"/>
    </xf>
    <xf numFmtId="0" fontId="33" fillId="0" borderId="105" xfId="4" applyFont="1" applyBorder="1" applyAlignment="1">
      <alignment horizontal="center" vertical="center" wrapText="1"/>
    </xf>
    <xf numFmtId="0" fontId="6" fillId="0" borderId="103" xfId="4" applyFont="1" applyBorder="1" applyAlignment="1">
      <alignment horizontal="left" vertical="center" wrapText="1"/>
    </xf>
    <xf numFmtId="0" fontId="6" fillId="0" borderId="102" xfId="4" applyFont="1" applyBorder="1" applyAlignment="1">
      <alignment horizontal="left" vertical="center" wrapText="1"/>
    </xf>
    <xf numFmtId="0" fontId="5" fillId="0" borderId="10" xfId="4" applyFont="1" applyBorder="1" applyAlignment="1">
      <alignment horizontal="center" vertical="center" wrapText="1"/>
    </xf>
    <xf numFmtId="0" fontId="5" fillId="0" borderId="7" xfId="4" applyFont="1" applyBorder="1" applyAlignment="1">
      <alignment horizontal="center" vertical="center" wrapText="1"/>
    </xf>
    <xf numFmtId="0" fontId="5" fillId="0" borderId="77" xfId="4" applyFont="1" applyBorder="1" applyAlignment="1">
      <alignment horizontal="center" vertical="center" wrapText="1"/>
    </xf>
    <xf numFmtId="0" fontId="33" fillId="0" borderId="118" xfId="4" applyFont="1" applyBorder="1" applyAlignment="1">
      <alignment horizontal="center" vertical="center" wrapText="1"/>
    </xf>
    <xf numFmtId="0" fontId="33" fillId="0" borderId="122" xfId="4" applyFont="1" applyBorder="1" applyAlignment="1">
      <alignment horizontal="center" vertical="center" wrapText="1"/>
    </xf>
    <xf numFmtId="0" fontId="33" fillId="0" borderId="123" xfId="4" applyFont="1" applyBorder="1" applyAlignment="1">
      <alignment horizontal="center" vertical="center" wrapText="1"/>
    </xf>
    <xf numFmtId="0" fontId="5" fillId="0" borderId="11" xfId="4" applyFont="1" applyBorder="1" applyAlignment="1">
      <alignment horizontal="center" vertical="center" wrapText="1"/>
    </xf>
    <xf numFmtId="0" fontId="5" fillId="0" borderId="101" xfId="4" applyFont="1" applyBorder="1" applyAlignment="1">
      <alignment horizontal="center" vertical="center" wrapText="1"/>
    </xf>
    <xf numFmtId="0" fontId="5" fillId="0" borderId="51" xfId="4" applyFont="1" applyBorder="1" applyAlignment="1">
      <alignment horizontal="center" vertical="center" wrapText="1"/>
    </xf>
    <xf numFmtId="0" fontId="5" fillId="0" borderId="15" xfId="4" applyFont="1" applyBorder="1" applyAlignment="1">
      <alignment horizontal="center" vertical="center" wrapText="1"/>
    </xf>
    <xf numFmtId="0" fontId="33" fillId="0" borderId="53" xfId="4" applyFont="1" applyBorder="1" applyAlignment="1">
      <alignment horizontal="center" vertical="center" wrapText="1"/>
    </xf>
    <xf numFmtId="0" fontId="33" fillId="0" borderId="52" xfId="4" applyFont="1" applyBorder="1" applyAlignment="1">
      <alignment horizontal="center" vertical="center" wrapText="1"/>
    </xf>
    <xf numFmtId="0" fontId="33" fillId="0" borderId="8" xfId="4" applyFont="1" applyBorder="1" applyAlignment="1">
      <alignment horizontal="center" vertical="center" wrapText="1"/>
    </xf>
    <xf numFmtId="0" fontId="6" fillId="0" borderId="4" xfId="4" applyFont="1" applyBorder="1" applyAlignment="1">
      <alignment horizontal="left" vertical="center" wrapText="1"/>
    </xf>
    <xf numFmtId="0" fontId="6" fillId="0" borderId="52" xfId="4" applyFont="1" applyBorder="1" applyAlignment="1">
      <alignment horizontal="left" vertical="center" wrapText="1"/>
    </xf>
    <xf numFmtId="0" fontId="5" fillId="0" borderId="37" xfId="4" applyFont="1" applyBorder="1" applyAlignment="1">
      <alignment horizontal="center" vertical="center" wrapText="1"/>
    </xf>
    <xf numFmtId="0" fontId="5" fillId="0" borderId="21" xfId="4" applyFont="1" applyBorder="1" applyAlignment="1">
      <alignment horizontal="center" vertical="center" wrapText="1"/>
    </xf>
    <xf numFmtId="0" fontId="33" fillId="0" borderId="101" xfId="4" applyFont="1" applyBorder="1" applyAlignment="1">
      <alignment horizontal="center" vertical="center" wrapText="1"/>
    </xf>
    <xf numFmtId="0" fontId="33" fillId="0" borderId="107" xfId="4" applyFont="1" applyBorder="1" applyAlignment="1">
      <alignment horizontal="center" vertical="center" wrapText="1"/>
    </xf>
    <xf numFmtId="0" fontId="33" fillId="0" borderId="14" xfId="4" applyFont="1" applyBorder="1" applyAlignment="1">
      <alignment horizontal="center" vertical="center" wrapText="1"/>
    </xf>
    <xf numFmtId="0" fontId="33" fillId="0" borderId="41" xfId="4" applyFont="1" applyBorder="1" applyAlignment="1">
      <alignment horizontal="center" vertical="center" wrapText="1"/>
    </xf>
    <xf numFmtId="0" fontId="33" fillId="0" borderId="9" xfId="4" applyFont="1" applyBorder="1" applyAlignment="1">
      <alignment horizontal="center" vertical="center" wrapText="1"/>
    </xf>
    <xf numFmtId="0" fontId="33" fillId="0" borderId="40" xfId="4" applyFont="1" applyBorder="1" applyAlignment="1">
      <alignment horizontal="center" vertical="center" wrapText="1"/>
    </xf>
    <xf numFmtId="164" fontId="12" fillId="0" borderId="102" xfId="4" applyNumberFormat="1" applyFont="1" applyBorder="1" applyAlignment="1">
      <alignment horizontal="center" vertical="center" wrapText="1"/>
    </xf>
    <xf numFmtId="0" fontId="6" fillId="0" borderId="107" xfId="4" applyFont="1" applyBorder="1" applyAlignment="1">
      <alignment horizontal="left" vertical="center" wrapText="1"/>
    </xf>
    <xf numFmtId="0" fontId="6" fillId="0" borderId="74" xfId="4" applyFont="1" applyBorder="1" applyAlignment="1">
      <alignment horizontal="left" vertical="center" wrapText="1"/>
    </xf>
    <xf numFmtId="0" fontId="6" fillId="0" borderId="108" xfId="4" applyFont="1" applyBorder="1" applyAlignment="1">
      <alignment horizontal="left" vertical="center" wrapText="1"/>
    </xf>
    <xf numFmtId="0" fontId="6" fillId="0" borderId="109" xfId="4" applyFont="1" applyBorder="1" applyAlignment="1">
      <alignment horizontal="left" vertical="center" wrapText="1"/>
    </xf>
    <xf numFmtId="0" fontId="5" fillId="0" borderId="110" xfId="4" applyFont="1" applyBorder="1" applyAlignment="1">
      <alignment horizontal="center" vertical="center" wrapText="1"/>
    </xf>
    <xf numFmtId="0" fontId="5" fillId="0" borderId="111" xfId="4" applyFont="1" applyBorder="1" applyAlignment="1">
      <alignment horizontal="center" vertical="center" wrapText="1"/>
    </xf>
    <xf numFmtId="0" fontId="5" fillId="0" borderId="23" xfId="4" applyFont="1" applyBorder="1" applyAlignment="1">
      <alignment horizontal="center" vertical="center" wrapText="1"/>
    </xf>
    <xf numFmtId="0" fontId="33" fillId="0" borderId="124" xfId="4" applyFont="1" applyBorder="1" applyAlignment="1">
      <alignment horizontal="center" vertical="center" wrapText="1"/>
    </xf>
    <xf numFmtId="0" fontId="5" fillId="0" borderId="39" xfId="4" applyFont="1" applyBorder="1" applyAlignment="1">
      <alignment horizontal="center" vertical="center" wrapText="1"/>
    </xf>
    <xf numFmtId="0" fontId="5" fillId="0" borderId="80" xfId="4" applyFont="1" applyBorder="1" applyAlignment="1">
      <alignment horizontal="center" vertical="center" wrapText="1"/>
    </xf>
    <xf numFmtId="0" fontId="33" fillId="0" borderId="120" xfId="4" applyFont="1" applyBorder="1" applyAlignment="1">
      <alignment horizontal="center" vertical="center" wrapText="1"/>
    </xf>
    <xf numFmtId="0" fontId="33" fillId="0" borderId="121" xfId="4" applyFont="1" applyBorder="1" applyAlignment="1">
      <alignment horizontal="center" vertical="center" wrapText="1"/>
    </xf>
    <xf numFmtId="0" fontId="33" fillId="0" borderId="78" xfId="4" applyFont="1" applyBorder="1" applyAlignment="1">
      <alignment horizontal="center" vertical="center" wrapText="1"/>
    </xf>
    <xf numFmtId="0" fontId="26" fillId="0" borderId="60" xfId="4" applyFont="1" applyBorder="1" applyAlignment="1">
      <alignment horizontal="center" vertical="center" wrapText="1"/>
    </xf>
    <xf numFmtId="0" fontId="26" fillId="0" borderId="62" xfId="4" applyFont="1" applyBorder="1" applyAlignment="1">
      <alignment horizontal="center" vertical="center" wrapText="1"/>
    </xf>
    <xf numFmtId="0" fontId="20" fillId="0" borderId="94" xfId="4" applyFont="1" applyBorder="1" applyAlignment="1">
      <alignment horizontal="center" vertical="center" wrapText="1"/>
    </xf>
    <xf numFmtId="0" fontId="20" fillId="0" borderId="95" xfId="4" applyFont="1" applyBorder="1" applyAlignment="1">
      <alignment horizontal="center" vertical="center" wrapText="1"/>
    </xf>
    <xf numFmtId="0" fontId="20" fillId="0" borderId="96" xfId="4" applyFont="1" applyBorder="1" applyAlignment="1">
      <alignment horizontal="center" vertical="center" wrapText="1"/>
    </xf>
    <xf numFmtId="0" fontId="20" fillId="0" borderId="97" xfId="4" applyFont="1" applyBorder="1" applyAlignment="1">
      <alignment horizontal="center" vertical="center" wrapText="1"/>
    </xf>
    <xf numFmtId="164" fontId="12" fillId="0" borderId="73" xfId="4" applyNumberFormat="1" applyFont="1" applyBorder="1" applyAlignment="1">
      <alignment horizontal="center" vertical="center" wrapText="1"/>
    </xf>
    <xf numFmtId="164" fontId="12" fillId="0" borderId="98" xfId="4" applyNumberFormat="1" applyFont="1" applyBorder="1" applyAlignment="1">
      <alignment horizontal="center" vertical="center" wrapText="1"/>
    </xf>
    <xf numFmtId="0" fontId="6" fillId="0" borderId="99" xfId="4" applyFont="1" applyBorder="1" applyAlignment="1">
      <alignment horizontal="left" vertical="center" wrapText="1"/>
    </xf>
    <xf numFmtId="0" fontId="6" fillId="0" borderId="100" xfId="4" applyFont="1" applyBorder="1" applyAlignment="1">
      <alignment horizontal="left" vertical="center" wrapText="1"/>
    </xf>
    <xf numFmtId="0" fontId="27" fillId="0" borderId="71" xfId="4" applyFont="1" applyBorder="1" applyAlignment="1">
      <alignment horizontal="center" vertical="center" wrapText="1"/>
    </xf>
    <xf numFmtId="0" fontId="27" fillId="0" borderId="84" xfId="4" applyFont="1" applyBorder="1" applyAlignment="1">
      <alignment horizontal="center" vertical="center" wrapText="1"/>
    </xf>
    <xf numFmtId="0" fontId="27" fillId="0" borderId="70" xfId="4" applyFont="1" applyBorder="1" applyAlignment="1">
      <alignment horizontal="center" vertical="center" wrapText="1"/>
    </xf>
    <xf numFmtId="0" fontId="27" fillId="0" borderId="86" xfId="4" applyFont="1" applyBorder="1" applyAlignment="1">
      <alignment horizontal="center" vertical="center" wrapText="1"/>
    </xf>
    <xf numFmtId="0" fontId="27" fillId="0" borderId="33" xfId="4" applyFont="1" applyBorder="1" applyAlignment="1">
      <alignment horizontal="center" vertical="center" wrapText="1"/>
    </xf>
    <xf numFmtId="0" fontId="27" fillId="0" borderId="34" xfId="4" applyFont="1" applyBorder="1" applyAlignment="1">
      <alignment horizontal="center" vertical="center" wrapText="1"/>
    </xf>
    <xf numFmtId="0" fontId="27" fillId="0" borderId="85" xfId="4" applyFont="1" applyBorder="1" applyAlignment="1">
      <alignment horizontal="center" vertical="center" wrapText="1"/>
    </xf>
    <xf numFmtId="0" fontId="27" fillId="0" borderId="63" xfId="4" applyFont="1" applyBorder="1" applyAlignment="1">
      <alignment horizontal="center" vertical="center" wrapText="1"/>
    </xf>
    <xf numFmtId="0" fontId="27" fillId="0" borderId="87" xfId="4" applyFont="1" applyBorder="1" applyAlignment="1">
      <alignment horizontal="center" vertical="center" wrapText="1"/>
    </xf>
    <xf numFmtId="0" fontId="11" fillId="0" borderId="0" xfId="4" applyNumberFormat="1" applyFont="1" applyFill="1" applyBorder="1" applyAlignment="1"/>
    <xf numFmtId="0" fontId="27" fillId="0" borderId="0" xfId="4" applyFont="1" applyBorder="1" applyAlignment="1">
      <alignment horizontal="center" vertical="center" wrapText="1"/>
    </xf>
    <xf numFmtId="0" fontId="27" fillId="0" borderId="35" xfId="4" applyFont="1" applyBorder="1" applyAlignment="1">
      <alignment horizontal="center" vertical="center" wrapText="1"/>
    </xf>
    <xf numFmtId="0" fontId="27" fillId="0" borderId="56" xfId="4" applyFont="1" applyBorder="1" applyAlignment="1">
      <alignment horizontal="center" vertical="center" wrapText="1"/>
    </xf>
    <xf numFmtId="0" fontId="14" fillId="0" borderId="28" xfId="4" applyFont="1" applyBorder="1" applyAlignment="1">
      <alignment horizontal="center" vertical="center" wrapText="1"/>
    </xf>
    <xf numFmtId="0" fontId="14" fillId="0" borderId="58" xfId="4" applyFont="1" applyBorder="1" applyAlignment="1">
      <alignment horizontal="center" vertical="center" wrapText="1"/>
    </xf>
    <xf numFmtId="164" fontId="12" fillId="0" borderId="53" xfId="4" applyNumberFormat="1" applyFont="1" applyBorder="1" applyAlignment="1">
      <alignment horizontal="center" vertical="center" wrapText="1"/>
    </xf>
    <xf numFmtId="164" fontId="12" fillId="0" borderId="5" xfId="4" applyNumberFormat="1" applyFont="1" applyBorder="1" applyAlignment="1">
      <alignment horizontal="center" vertical="center" wrapText="1"/>
    </xf>
    <xf numFmtId="0" fontId="5" fillId="0" borderId="4" xfId="4" applyFont="1" applyBorder="1" applyAlignment="1">
      <alignment horizontal="left" vertical="center" wrapText="1"/>
    </xf>
    <xf numFmtId="0" fontId="5" fillId="0" borderId="52" xfId="4" applyFont="1" applyBorder="1" applyAlignment="1">
      <alignment horizontal="left" vertical="center" wrapText="1"/>
    </xf>
    <xf numFmtId="0" fontId="5" fillId="0" borderId="81" xfId="4" applyFont="1" applyBorder="1" applyAlignment="1">
      <alignment horizontal="center" vertical="center" wrapText="1"/>
    </xf>
    <xf numFmtId="0" fontId="5" fillId="0" borderId="82" xfId="4" applyFont="1" applyBorder="1" applyAlignment="1">
      <alignment horizontal="center" vertical="center" wrapText="1"/>
    </xf>
    <xf numFmtId="0" fontId="5" fillId="0" borderId="90" xfId="4" applyFont="1" applyBorder="1" applyAlignment="1">
      <alignment horizontal="center" vertical="center" wrapText="1"/>
    </xf>
    <xf numFmtId="0" fontId="18" fillId="0" borderId="0" xfId="4" applyNumberFormat="1" applyFont="1" applyFill="1" applyBorder="1" applyAlignment="1" applyProtection="1">
      <alignment horizontal="right" vertical="center" wrapText="1"/>
    </xf>
    <xf numFmtId="0" fontId="14" fillId="0" borderId="1" xfId="4" applyFont="1" applyBorder="1" applyAlignment="1">
      <alignment horizontal="center" vertical="center" wrapText="1"/>
    </xf>
    <xf numFmtId="0" fontId="25" fillId="0" borderId="0" xfId="4" applyNumberFormat="1" applyFont="1" applyFill="1" applyBorder="1" applyAlignment="1" applyProtection="1">
      <alignment horizontal="center" vertical="center" wrapText="1"/>
    </xf>
    <xf numFmtId="0" fontId="20" fillId="0" borderId="1" xfId="4" applyFont="1" applyBorder="1" applyAlignment="1">
      <alignment horizontal="center" vertical="center" wrapText="1"/>
    </xf>
    <xf numFmtId="0" fontId="20" fillId="0" borderId="74" xfId="4" applyNumberFormat="1" applyFont="1" applyFill="1" applyBorder="1" applyAlignment="1" applyProtection="1">
      <alignment horizontal="center" vertical="center" wrapText="1"/>
    </xf>
    <xf numFmtId="0" fontId="20" fillId="0" borderId="76" xfId="4" applyNumberFormat="1" applyFont="1" applyFill="1" applyBorder="1" applyAlignment="1" applyProtection="1">
      <alignment horizontal="center" vertical="center" wrapText="1"/>
    </xf>
    <xf numFmtId="0" fontId="20" fillId="0" borderId="77" xfId="4" applyNumberFormat="1" applyFont="1" applyFill="1" applyBorder="1" applyAlignment="1" applyProtection="1">
      <alignment horizontal="center" vertical="center" wrapText="1"/>
    </xf>
    <xf numFmtId="0" fontId="18" fillId="0" borderId="12" xfId="4" applyFont="1" applyBorder="1" applyAlignment="1">
      <alignment horizontal="right" vertical="center" wrapText="1"/>
    </xf>
    <xf numFmtId="0" fontId="18" fillId="0" borderId="0" xfId="4" applyFont="1" applyBorder="1" applyAlignment="1">
      <alignment horizontal="right" vertical="center" wrapText="1"/>
    </xf>
    <xf numFmtId="0" fontId="31" fillId="0" borderId="63" xfId="4" applyFont="1" applyBorder="1" applyAlignment="1">
      <alignment horizontal="center" vertical="center" wrapText="1"/>
    </xf>
    <xf numFmtId="0" fontId="31" fillId="0" borderId="65" xfId="4" applyFont="1" applyBorder="1" applyAlignment="1">
      <alignment horizontal="center" vertical="center" wrapText="1"/>
    </xf>
    <xf numFmtId="0" fontId="31" fillId="0" borderId="31" xfId="4" applyFont="1" applyBorder="1" applyAlignment="1">
      <alignment horizontal="center" vertical="center" wrapText="1"/>
    </xf>
    <xf numFmtId="0" fontId="31" fillId="0" borderId="32" xfId="4" applyFont="1" applyBorder="1" applyAlignment="1">
      <alignment horizontal="center" vertical="center" wrapText="1"/>
    </xf>
    <xf numFmtId="0" fontId="10" fillId="0" borderId="63" xfId="4" applyFont="1" applyBorder="1" applyAlignment="1">
      <alignment horizontal="center" vertical="center" wrapText="1"/>
    </xf>
    <xf numFmtId="0" fontId="10" fillId="0" borderId="65" xfId="4" applyFont="1" applyBorder="1" applyAlignment="1">
      <alignment horizontal="center" vertical="center" wrapText="1"/>
    </xf>
    <xf numFmtId="0" fontId="10" fillId="0" borderId="0" xfId="4" applyFont="1" applyBorder="1" applyAlignment="1">
      <alignment horizontal="center" vertical="center" wrapText="1"/>
    </xf>
    <xf numFmtId="0" fontId="29" fillId="0" borderId="0" xfId="4" applyNumberFormat="1" applyFont="1" applyFill="1" applyBorder="1" applyAlignment="1"/>
    <xf numFmtId="0" fontId="10" fillId="0" borderId="50" xfId="4" applyFont="1" applyBorder="1" applyAlignment="1">
      <alignment horizontal="center" vertical="center" wrapText="1"/>
    </xf>
    <xf numFmtId="0" fontId="10" fillId="0" borderId="56" xfId="4" applyFont="1" applyBorder="1" applyAlignment="1">
      <alignment horizontal="center" vertical="center" wrapText="1"/>
    </xf>
    <xf numFmtId="0" fontId="10" fillId="0" borderId="62" xfId="4" applyFont="1" applyBorder="1" applyAlignment="1">
      <alignment horizontal="center" vertical="center" wrapText="1"/>
    </xf>
    <xf numFmtId="0" fontId="26" fillId="0" borderId="118" xfId="4" applyFont="1" applyBorder="1" applyAlignment="1">
      <alignment horizontal="center" vertical="center" wrapText="1"/>
    </xf>
    <xf numFmtId="0" fontId="26" fillId="0" borderId="91" xfId="4" applyFont="1" applyBorder="1" applyAlignment="1">
      <alignment horizontal="center" vertical="center" wrapText="1"/>
    </xf>
    <xf numFmtId="0" fontId="26" fillId="0" borderId="75" xfId="4" applyFont="1" applyBorder="1" applyAlignment="1">
      <alignment horizontal="center" vertical="center" wrapText="1"/>
    </xf>
    <xf numFmtId="0" fontId="26" fillId="0" borderId="93" xfId="4" applyFont="1" applyBorder="1" applyAlignment="1">
      <alignment horizontal="center" vertical="center" wrapText="1"/>
    </xf>
    <xf numFmtId="0" fontId="26" fillId="0" borderId="61" xfId="4" applyFont="1" applyBorder="1" applyAlignment="1">
      <alignment horizontal="center" vertical="center" wrapText="1"/>
    </xf>
    <xf numFmtId="0" fontId="14" fillId="0" borderId="0" xfId="4" applyNumberFormat="1" applyFont="1" applyFill="1" applyBorder="1" applyAlignment="1" applyProtection="1">
      <alignment horizontal="right" vertical="center" wrapText="1"/>
    </xf>
    <xf numFmtId="0" fontId="20" fillId="0" borderId="74" xfId="4" applyFont="1" applyBorder="1" applyAlignment="1">
      <alignment horizontal="center" vertical="center" wrapText="1"/>
    </xf>
    <xf numFmtId="0" fontId="20" fillId="0" borderId="76" xfId="4" applyFont="1" applyBorder="1" applyAlignment="1">
      <alignment horizontal="center" vertical="center" wrapText="1"/>
    </xf>
    <xf numFmtId="0" fontId="20" fillId="0" borderId="77" xfId="4" applyFont="1" applyBorder="1" applyAlignment="1">
      <alignment horizontal="center" vertical="center" wrapText="1"/>
    </xf>
    <xf numFmtId="0" fontId="14" fillId="0" borderId="12" xfId="4" applyNumberFormat="1" applyFont="1" applyFill="1" applyBorder="1" applyAlignment="1">
      <alignment horizontal="right"/>
    </xf>
    <xf numFmtId="0" fontId="14" fillId="0" borderId="0" xfId="4" applyNumberFormat="1" applyFont="1" applyFill="1" applyBorder="1" applyAlignment="1">
      <alignment horizontal="right"/>
    </xf>
    <xf numFmtId="0" fontId="20" fillId="0" borderId="74" xfId="4" applyNumberFormat="1" applyFont="1" applyFill="1" applyBorder="1" applyAlignment="1">
      <alignment horizontal="center"/>
    </xf>
    <xf numFmtId="0" fontId="20" fillId="0" borderId="76" xfId="4" applyNumberFormat="1" applyFont="1" applyFill="1" applyBorder="1" applyAlignment="1">
      <alignment horizontal="center"/>
    </xf>
    <xf numFmtId="0" fontId="20" fillId="0" borderId="77" xfId="4" applyNumberFormat="1" applyFont="1" applyFill="1" applyBorder="1" applyAlignment="1">
      <alignment horizontal="center"/>
    </xf>
    <xf numFmtId="0" fontId="14" fillId="0" borderId="0" xfId="4" applyFont="1" applyBorder="1" applyAlignment="1">
      <alignment horizontal="right" vertical="center" wrapText="1"/>
    </xf>
    <xf numFmtId="0" fontId="20" fillId="0" borderId="72" xfId="4" applyNumberFormat="1" applyFont="1" applyFill="1" applyBorder="1" applyAlignment="1" applyProtection="1">
      <alignment horizontal="center" vertical="center" wrapText="1"/>
    </xf>
    <xf numFmtId="0" fontId="28" fillId="0" borderId="0" xfId="4" applyFont="1" applyBorder="1" applyAlignment="1">
      <alignment horizontal="right" vertical="center" wrapText="1"/>
    </xf>
    <xf numFmtId="0" fontId="15" fillId="0" borderId="12" xfId="4" applyNumberFormat="1" applyFont="1" applyFill="1" applyBorder="1" applyAlignment="1" applyProtection="1">
      <alignment horizontal="left" vertical="top"/>
    </xf>
    <xf numFmtId="0" fontId="15" fillId="0" borderId="0" xfId="4" applyNumberFormat="1" applyFont="1" applyFill="1" applyBorder="1" applyAlignment="1" applyProtection="1">
      <alignment horizontal="left" vertical="top"/>
    </xf>
    <xf numFmtId="0" fontId="15" fillId="0" borderId="115" xfId="4" applyNumberFormat="1" applyFont="1" applyFill="1" applyBorder="1" applyAlignment="1" applyProtection="1">
      <alignment horizontal="left" vertical="top"/>
    </xf>
    <xf numFmtId="0" fontId="12" fillId="0" borderId="12" xfId="4" applyFont="1" applyBorder="1" applyAlignment="1">
      <alignment horizontal="left" vertical="top" wrapText="1"/>
    </xf>
    <xf numFmtId="0" fontId="12" fillId="0" borderId="0" xfId="4" applyFont="1" applyBorder="1" applyAlignment="1">
      <alignment horizontal="left" vertical="top" wrapText="1"/>
    </xf>
    <xf numFmtId="0" fontId="12" fillId="0" borderId="13" xfId="4" applyFont="1" applyBorder="1" applyAlignment="1">
      <alignment horizontal="left" vertical="top" wrapText="1"/>
    </xf>
    <xf numFmtId="0" fontId="4" fillId="0" borderId="12" xfId="4" applyNumberFormat="1" applyFont="1" applyFill="1" applyBorder="1" applyAlignment="1">
      <alignment horizontal="center"/>
    </xf>
    <xf numFmtId="0" fontId="4" fillId="0" borderId="0" xfId="4" applyNumberFormat="1" applyFont="1" applyFill="1" applyBorder="1" applyAlignment="1">
      <alignment horizontal="center"/>
    </xf>
    <xf numFmtId="0" fontId="4" fillId="0" borderId="13" xfId="4" applyNumberFormat="1" applyFont="1" applyFill="1" applyBorder="1" applyAlignment="1">
      <alignment horizontal="center"/>
    </xf>
    <xf numFmtId="0" fontId="34" fillId="0" borderId="78" xfId="4" applyFont="1" applyBorder="1" applyAlignment="1">
      <alignment horizontal="left" vertical="top" wrapText="1"/>
    </xf>
    <xf numFmtId="0" fontId="34" fillId="0" borderId="79" xfId="4" applyFont="1" applyBorder="1" applyAlignment="1">
      <alignment horizontal="left" vertical="top" wrapText="1"/>
    </xf>
    <xf numFmtId="0" fontId="34" fillId="0" borderId="88" xfId="4" applyNumberFormat="1" applyFont="1" applyFill="1" applyBorder="1" applyAlignment="1" applyProtection="1">
      <alignment horizontal="left" vertical="top" wrapText="1"/>
    </xf>
    <xf numFmtId="0" fontId="34" fillId="0" borderId="89" xfId="4" applyFont="1" applyBorder="1" applyAlignment="1">
      <alignment horizontal="left" vertical="top" wrapText="1"/>
    </xf>
    <xf numFmtId="0" fontId="34" fillId="0" borderId="81" xfId="4" applyNumberFormat="1" applyFont="1" applyFill="1" applyBorder="1" applyAlignment="1" applyProtection="1">
      <alignment horizontal="left" vertical="top" wrapText="1"/>
    </xf>
    <xf numFmtId="0" fontId="34" fillId="0" borderId="82" xfId="4" applyFont="1" applyBorder="1" applyAlignment="1">
      <alignment horizontal="left" vertical="top" wrapText="1"/>
    </xf>
    <xf numFmtId="0" fontId="34" fillId="0" borderId="82" xfId="4" applyNumberFormat="1" applyFont="1" applyFill="1" applyBorder="1" applyAlignment="1" applyProtection="1">
      <alignment horizontal="left" vertical="top" wrapText="1"/>
    </xf>
    <xf numFmtId="0" fontId="34" fillId="0" borderId="90" xfId="4" applyFont="1" applyBorder="1" applyAlignment="1">
      <alignment horizontal="left" vertical="top" wrapText="1"/>
    </xf>
    <xf numFmtId="0" fontId="33" fillId="0" borderId="19" xfId="4" applyFont="1" applyBorder="1" applyAlignment="1">
      <alignment horizontal="center" wrapText="1"/>
    </xf>
    <xf numFmtId="0" fontId="33" fillId="0" borderId="1" xfId="4" applyFont="1" applyBorder="1" applyAlignment="1">
      <alignment horizontal="center" wrapText="1"/>
    </xf>
    <xf numFmtId="0" fontId="33" fillId="0" borderId="14" xfId="4" applyFont="1" applyBorder="1" applyAlignment="1">
      <alignment horizontal="center" wrapText="1"/>
    </xf>
    <xf numFmtId="0" fontId="33" fillId="0" borderId="19" xfId="4" applyNumberFormat="1" applyFont="1" applyFill="1" applyBorder="1" applyAlignment="1" applyProtection="1">
      <alignment horizontal="center" wrapText="1"/>
    </xf>
    <xf numFmtId="0" fontId="33" fillId="0" borderId="1" xfId="4" applyNumberFormat="1" applyFont="1" applyFill="1" applyBorder="1" applyAlignment="1" applyProtection="1">
      <alignment horizontal="center" wrapText="1"/>
    </xf>
    <xf numFmtId="0" fontId="33" fillId="0" borderId="14" xfId="4" applyNumberFormat="1" applyFont="1" applyFill="1" applyBorder="1" applyAlignment="1" applyProtection="1">
      <alignment horizontal="center" wrapText="1"/>
    </xf>
    <xf numFmtId="0" fontId="33" fillId="0" borderId="6" xfId="4" applyNumberFormat="1" applyFont="1" applyFill="1" applyBorder="1" applyAlignment="1" applyProtection="1">
      <alignment horizontal="center" wrapText="1"/>
    </xf>
    <xf numFmtId="0" fontId="33" fillId="0" borderId="7" xfId="4" applyNumberFormat="1" applyFont="1" applyFill="1" applyBorder="1" applyAlignment="1" applyProtection="1">
      <alignment horizontal="center" wrapText="1"/>
    </xf>
    <xf numFmtId="0" fontId="33" fillId="0" borderId="11" xfId="4" applyNumberFormat="1" applyFont="1" applyFill="1" applyBorder="1" applyAlignment="1" applyProtection="1">
      <alignment horizontal="center" wrapText="1"/>
    </xf>
    <xf numFmtId="1" fontId="33" fillId="2" borderId="21" xfId="4" applyNumberFormat="1" applyFont="1" applyFill="1" applyBorder="1" applyAlignment="1">
      <alignment horizontal="center" vertical="center" wrapText="1"/>
    </xf>
    <xf numFmtId="1" fontId="33" fillId="2" borderId="2" xfId="4" applyNumberFormat="1" applyFont="1" applyFill="1" applyBorder="1" applyAlignment="1">
      <alignment horizontal="center" vertical="center" wrapText="1"/>
    </xf>
    <xf numFmtId="0" fontId="33" fillId="2" borderId="15" xfId="4" applyFont="1" applyFill="1" applyBorder="1" applyAlignment="1">
      <alignment horizontal="center" vertical="center" wrapText="1"/>
    </xf>
    <xf numFmtId="0" fontId="33" fillId="0" borderId="23" xfId="4" applyFont="1" applyBorder="1" applyAlignment="1">
      <alignment horizontal="center" vertical="center" wrapText="1"/>
    </xf>
    <xf numFmtId="0" fontId="33" fillId="0" borderId="22" xfId="4" applyFont="1" applyBorder="1" applyAlignment="1">
      <alignment horizontal="center" vertical="center" wrapText="1"/>
    </xf>
    <xf numFmtId="0" fontId="33" fillId="0" borderId="39" xfId="4" applyFont="1" applyBorder="1" applyAlignment="1">
      <alignment horizontal="center" vertical="center" wrapText="1"/>
    </xf>
    <xf numFmtId="1" fontId="33" fillId="0" borderId="19" xfId="4" applyNumberFormat="1" applyFont="1" applyBorder="1" applyAlignment="1">
      <alignment horizontal="center" vertical="center" wrapText="1"/>
    </xf>
    <xf numFmtId="1" fontId="33" fillId="0" borderId="1" xfId="4" applyNumberFormat="1" applyFont="1" applyBorder="1" applyAlignment="1">
      <alignment horizontal="center" vertical="center" wrapText="1"/>
    </xf>
    <xf numFmtId="2" fontId="33" fillId="0" borderId="19" xfId="4" applyNumberFormat="1" applyFont="1" applyBorder="1" applyAlignment="1">
      <alignment horizontal="center" vertical="center" wrapText="1"/>
    </xf>
    <xf numFmtId="2" fontId="33" fillId="0" borderId="1" xfId="4" applyNumberFormat="1" applyFont="1" applyBorder="1" applyAlignment="1">
      <alignment horizontal="center" vertical="center" wrapText="1"/>
    </xf>
    <xf numFmtId="2" fontId="33" fillId="0" borderId="14" xfId="4" applyNumberFormat="1" applyFont="1" applyBorder="1" applyAlignment="1">
      <alignment horizontal="center" vertical="center" wrapText="1"/>
    </xf>
    <xf numFmtId="2" fontId="33" fillId="0" borderId="19" xfId="4" applyNumberFormat="1" applyFont="1" applyFill="1" applyBorder="1" applyAlignment="1" applyProtection="1">
      <alignment horizontal="center" vertical="center" wrapText="1"/>
    </xf>
    <xf numFmtId="2" fontId="33" fillId="0" borderId="14" xfId="4" applyNumberFormat="1" applyFont="1" applyFill="1" applyBorder="1" applyAlignment="1" applyProtection="1">
      <alignment horizontal="center" vertical="center" wrapText="1"/>
    </xf>
    <xf numFmtId="0" fontId="33" fillId="0" borderId="19" xfId="4" applyNumberFormat="1" applyFont="1" applyFill="1" applyBorder="1" applyAlignment="1" applyProtection="1">
      <alignment horizontal="center" vertical="center" wrapText="1"/>
    </xf>
    <xf numFmtId="0" fontId="33" fillId="0" borderId="1" xfId="4" applyNumberFormat="1" applyFont="1" applyFill="1" applyBorder="1" applyAlignment="1" applyProtection="1">
      <alignment horizontal="center" vertical="center" wrapText="1"/>
    </xf>
    <xf numFmtId="0" fontId="33" fillId="0" borderId="14" xfId="4" applyNumberFormat="1" applyFont="1" applyFill="1" applyBorder="1" applyAlignment="1" applyProtection="1">
      <alignment horizontal="center" vertical="center" wrapText="1"/>
    </xf>
    <xf numFmtId="49" fontId="33" fillId="0" borderId="116" xfId="4" applyNumberFormat="1" applyFont="1" applyBorder="1" applyAlignment="1">
      <alignment horizontal="center" wrapText="1"/>
    </xf>
    <xf numFmtId="49" fontId="33" fillId="0" borderId="117" xfId="4" applyNumberFormat="1" applyFont="1" applyBorder="1" applyAlignment="1">
      <alignment horizontal="center" wrapText="1"/>
    </xf>
    <xf numFmtId="49" fontId="33" fillId="0" borderId="83" xfId="4" applyNumberFormat="1" applyFont="1" applyBorder="1" applyAlignment="1">
      <alignment horizontal="center" wrapText="1"/>
    </xf>
    <xf numFmtId="1" fontId="33" fillId="0" borderId="117" xfId="4" applyNumberFormat="1" applyFont="1" applyBorder="1" applyAlignment="1">
      <alignment horizontal="center" wrapText="1"/>
    </xf>
    <xf numFmtId="1" fontId="33" fillId="0" borderId="83" xfId="4" applyNumberFormat="1" applyFont="1" applyBorder="1" applyAlignment="1">
      <alignment horizontal="center" wrapText="1"/>
    </xf>
    <xf numFmtId="0" fontId="33" fillId="0" borderId="24" xfId="4" applyFont="1" applyBorder="1" applyAlignment="1">
      <alignment horizontal="center" vertical="center" wrapText="1"/>
    </xf>
    <xf numFmtId="0" fontId="33" fillId="0" borderId="18" xfId="4" applyFont="1" applyBorder="1" applyAlignment="1">
      <alignment horizontal="center" vertical="center" wrapText="1"/>
    </xf>
    <xf numFmtId="0" fontId="33" fillId="0" borderId="18" xfId="4" applyNumberFormat="1" applyFont="1" applyFill="1" applyBorder="1" applyAlignment="1" applyProtection="1">
      <alignment horizontal="center" vertical="center" wrapText="1"/>
    </xf>
    <xf numFmtId="0" fontId="33" fillId="0" borderId="125" xfId="4" applyNumberFormat="1" applyFont="1" applyFill="1" applyBorder="1" applyAlignment="1" applyProtection="1">
      <alignment horizontal="center" vertical="center" wrapText="1"/>
    </xf>
    <xf numFmtId="0" fontId="33" fillId="0" borderId="127" xfId="4" applyNumberFormat="1" applyFont="1" applyFill="1" applyBorder="1" applyAlignment="1" applyProtection="1">
      <alignment horizontal="center" vertical="center" wrapText="1"/>
    </xf>
    <xf numFmtId="0" fontId="33" fillId="0" borderId="125" xfId="4" applyFont="1" applyBorder="1" applyAlignment="1">
      <alignment horizontal="center" vertical="center" wrapText="1"/>
    </xf>
    <xf numFmtId="0" fontId="33" fillId="0" borderId="126" xfId="4" applyFont="1" applyBorder="1" applyAlignment="1">
      <alignment horizontal="center" vertical="center" wrapText="1"/>
    </xf>
    <xf numFmtId="0" fontId="33" fillId="0" borderId="66" xfId="4" applyFont="1" applyBorder="1" applyAlignment="1">
      <alignment horizontal="center" vertical="center" wrapText="1"/>
    </xf>
    <xf numFmtId="0" fontId="33" fillId="0" borderId="55" xfId="4" applyFont="1" applyBorder="1" applyAlignment="1">
      <alignment horizontal="center" vertical="center" wrapText="1"/>
    </xf>
    <xf numFmtId="0" fontId="33" fillId="0" borderId="55" xfId="4" applyNumberFormat="1" applyFont="1" applyFill="1" applyBorder="1" applyAlignment="1" applyProtection="1">
      <alignment horizontal="center" vertical="center" wrapText="1"/>
    </xf>
    <xf numFmtId="0" fontId="33" fillId="0" borderId="24" xfId="4" applyNumberFormat="1" applyFont="1" applyFill="1" applyBorder="1" applyAlignment="1" applyProtection="1">
      <alignment horizontal="center" vertical="center" wrapText="1"/>
    </xf>
  </cellXfs>
  <cellStyles count="10">
    <cellStyle name="Normal" xfId="0" builtinId="0"/>
    <cellStyle name="Normal 2" xfId="1" xr:uid="{00000000-0005-0000-0000-000001000000}"/>
    <cellStyle name="Normal 2 2" xfId="4" xr:uid="{00000000-0005-0000-0000-000002000000}"/>
    <cellStyle name="Normal 2 3" xfId="7" xr:uid="{00000000-0005-0000-0000-000003000000}"/>
    <cellStyle name="Normal 3" xfId="2" xr:uid="{00000000-0005-0000-0000-000004000000}"/>
    <cellStyle name="Normal 3 2" xfId="5" xr:uid="{00000000-0005-0000-0000-000005000000}"/>
    <cellStyle name="Normal 3 3" xfId="8" xr:uid="{00000000-0005-0000-0000-000006000000}"/>
    <cellStyle name="Normal 4" xfId="3" xr:uid="{00000000-0005-0000-0000-000007000000}"/>
    <cellStyle name="Normal 4 2" xfId="6" xr:uid="{00000000-0005-0000-0000-000008000000}"/>
    <cellStyle name="Style 1"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44</xdr:col>
      <xdr:colOff>72813</xdr:colOff>
      <xdr:row>0</xdr:row>
      <xdr:rowOff>0</xdr:rowOff>
    </xdr:from>
    <xdr:to>
      <xdr:col>45</xdr:col>
      <xdr:colOff>445152</xdr:colOff>
      <xdr:row>1</xdr:row>
      <xdr:rowOff>16808</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628342" y="0"/>
          <a:ext cx="903541" cy="340414"/>
        </a:xfrm>
        <a:prstGeom prst="rect">
          <a:avLst/>
        </a:prstGeom>
        <a:noFill/>
        <a:ln w="9525">
          <a:noFill/>
          <a:miter lim="800000"/>
          <a:headEnd/>
          <a:tailEnd/>
        </a:ln>
      </xdr:spPr>
    </xdr:pic>
    <xdr:clientData/>
  </xdr:twoCellAnchor>
  <xdr:twoCellAnchor editAs="oneCell">
    <xdr:from>
      <xdr:col>0</xdr:col>
      <xdr:colOff>87312</xdr:colOff>
      <xdr:row>0</xdr:row>
      <xdr:rowOff>63500</xdr:rowOff>
    </xdr:from>
    <xdr:to>
      <xdr:col>2</xdr:col>
      <xdr:colOff>519690</xdr:colOff>
      <xdr:row>4</xdr:row>
      <xdr:rowOff>166687</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312" y="63500"/>
          <a:ext cx="718128" cy="714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U89"/>
  <sheetViews>
    <sheetView showGridLines="0" tabSelected="1" zoomScaleNormal="120" workbookViewId="0">
      <selection activeCell="AU70" sqref="AU70"/>
    </sheetView>
  </sheetViews>
  <sheetFormatPr defaultRowHeight="12.5"/>
  <cols>
    <col min="1" max="1" width="1.36328125" style="1" customWidth="1"/>
    <col min="2" max="2" width="3" style="1" customWidth="1"/>
    <col min="3" max="3" width="14.54296875" style="1" bestFit="1" customWidth="1"/>
    <col min="4" max="4" width="6.453125" style="1" customWidth="1"/>
    <col min="5" max="5" width="8.90625" style="1" customWidth="1"/>
    <col min="6" max="6" width="1.6328125" style="1" customWidth="1"/>
    <col min="7" max="7" width="1" style="1" customWidth="1"/>
    <col min="8" max="11" width="2.90625" style="1" bestFit="1" customWidth="1"/>
    <col min="12" max="12" width="2.54296875" style="1" bestFit="1" customWidth="1"/>
    <col min="13" max="13" width="0.36328125" style="1" bestFit="1" customWidth="1"/>
    <col min="14" max="16" width="2.90625" style="1" bestFit="1" customWidth="1"/>
    <col min="17" max="17" width="3.453125" style="1" customWidth="1"/>
    <col min="18" max="18" width="0.90625" style="1" bestFit="1" customWidth="1"/>
    <col min="19" max="19" width="2" style="1" bestFit="1" customWidth="1"/>
    <col min="20" max="21" width="2.90625" style="1" bestFit="1" customWidth="1"/>
    <col min="22" max="22" width="0.6328125" style="1" bestFit="1" customWidth="1"/>
    <col min="23" max="23" width="2.453125" style="1" customWidth="1"/>
    <col min="24" max="24" width="1.08984375" style="1" bestFit="1" customWidth="1"/>
    <col min="25" max="26" width="1.6328125" style="1" bestFit="1" customWidth="1"/>
    <col min="27" max="27" width="1.08984375" style="1" bestFit="1" customWidth="1"/>
    <col min="28" max="32" width="2.90625" style="1" bestFit="1" customWidth="1"/>
    <col min="33" max="33" width="2.6328125" style="1" bestFit="1" customWidth="1"/>
    <col min="34" max="34" width="8.984375E-2" style="1" bestFit="1" customWidth="1"/>
    <col min="35" max="36" width="2.90625" style="1" bestFit="1" customWidth="1"/>
    <col min="37" max="37" width="1.08984375" style="1" customWidth="1"/>
    <col min="38" max="39" width="1.6328125" style="1" bestFit="1" customWidth="1"/>
    <col min="40" max="41" width="5" style="1" bestFit="1" customWidth="1"/>
    <col min="42" max="42" width="1.6328125" style="1" bestFit="1" customWidth="1"/>
    <col min="43" max="43" width="10.08984375" style="1" bestFit="1" customWidth="1"/>
    <col min="44" max="46" width="7.6328125" style="1" customWidth="1"/>
    <col min="47" max="256" width="9.08984375" style="1"/>
    <col min="257" max="257" width="1.6328125" style="1" bestFit="1" customWidth="1"/>
    <col min="258" max="258" width="0.90625" style="1" bestFit="1" customWidth="1"/>
    <col min="259" max="259" width="14.54296875" style="1" bestFit="1" customWidth="1"/>
    <col min="260" max="260" width="8.6328125" style="1" bestFit="1" customWidth="1"/>
    <col min="261" max="261" width="8.984375E-2" style="1" bestFit="1" customWidth="1"/>
    <col min="262" max="262" width="0.90625" style="1" bestFit="1" customWidth="1"/>
    <col min="263" max="263" width="2" style="1" bestFit="1" customWidth="1"/>
    <col min="264" max="267" width="2.90625" style="1" bestFit="1" customWidth="1"/>
    <col min="268" max="268" width="2.54296875" style="1" bestFit="1" customWidth="1"/>
    <col min="269" max="269" width="0.36328125" style="1" bestFit="1" customWidth="1"/>
    <col min="270" max="273" width="2.90625" style="1" bestFit="1" customWidth="1"/>
    <col min="274" max="274" width="0.90625" style="1" bestFit="1" customWidth="1"/>
    <col min="275" max="275" width="2" style="1" bestFit="1" customWidth="1"/>
    <col min="276" max="277" width="2.90625" style="1" bestFit="1" customWidth="1"/>
    <col min="278" max="278" width="0.6328125" style="1" bestFit="1" customWidth="1"/>
    <col min="279" max="279" width="2.08984375" style="1" bestFit="1" customWidth="1"/>
    <col min="280" max="280" width="1.08984375" style="1" bestFit="1" customWidth="1"/>
    <col min="281" max="282" width="1.6328125" style="1" bestFit="1" customWidth="1"/>
    <col min="283" max="283" width="1.08984375" style="1" bestFit="1" customWidth="1"/>
    <col min="284" max="288" width="2.90625" style="1" bestFit="1" customWidth="1"/>
    <col min="289" max="289" width="2.6328125" style="1" bestFit="1" customWidth="1"/>
    <col min="290" max="290" width="8.984375E-2" style="1" bestFit="1" customWidth="1"/>
    <col min="291" max="292" width="2.90625" style="1" bestFit="1" customWidth="1"/>
    <col min="293" max="293" width="1.08984375" style="1" bestFit="1" customWidth="1"/>
    <col min="294" max="295" width="1.6328125" style="1" bestFit="1" customWidth="1"/>
    <col min="296" max="297" width="5" style="1" bestFit="1" customWidth="1"/>
    <col min="298" max="298" width="1.6328125" style="1" bestFit="1" customWidth="1"/>
    <col min="299" max="299" width="10.08984375" style="1" bestFit="1" customWidth="1"/>
    <col min="300" max="301" width="3.453125" style="1" bestFit="1" customWidth="1"/>
    <col min="302" max="302" width="7" style="1" bestFit="1" customWidth="1"/>
    <col min="303" max="512" width="9.08984375" style="1"/>
    <col min="513" max="513" width="1.6328125" style="1" bestFit="1" customWidth="1"/>
    <col min="514" max="514" width="0.90625" style="1" bestFit="1" customWidth="1"/>
    <col min="515" max="515" width="14.54296875" style="1" bestFit="1" customWidth="1"/>
    <col min="516" max="516" width="8.6328125" style="1" bestFit="1" customWidth="1"/>
    <col min="517" max="517" width="8.984375E-2" style="1" bestFit="1" customWidth="1"/>
    <col min="518" max="518" width="0.90625" style="1" bestFit="1" customWidth="1"/>
    <col min="519" max="519" width="2" style="1" bestFit="1" customWidth="1"/>
    <col min="520" max="523" width="2.90625" style="1" bestFit="1" customWidth="1"/>
    <col min="524" max="524" width="2.54296875" style="1" bestFit="1" customWidth="1"/>
    <col min="525" max="525" width="0.36328125" style="1" bestFit="1" customWidth="1"/>
    <col min="526" max="529" width="2.90625" style="1" bestFit="1" customWidth="1"/>
    <col min="530" max="530" width="0.90625" style="1" bestFit="1" customWidth="1"/>
    <col min="531" max="531" width="2" style="1" bestFit="1" customWidth="1"/>
    <col min="532" max="533" width="2.90625" style="1" bestFit="1" customWidth="1"/>
    <col min="534" max="534" width="0.6328125" style="1" bestFit="1" customWidth="1"/>
    <col min="535" max="535" width="2.08984375" style="1" bestFit="1" customWidth="1"/>
    <col min="536" max="536" width="1.08984375" style="1" bestFit="1" customWidth="1"/>
    <col min="537" max="538" width="1.6328125" style="1" bestFit="1" customWidth="1"/>
    <col min="539" max="539" width="1.08984375" style="1" bestFit="1" customWidth="1"/>
    <col min="540" max="544" width="2.90625" style="1" bestFit="1" customWidth="1"/>
    <col min="545" max="545" width="2.6328125" style="1" bestFit="1" customWidth="1"/>
    <col min="546" max="546" width="8.984375E-2" style="1" bestFit="1" customWidth="1"/>
    <col min="547" max="548" width="2.90625" style="1" bestFit="1" customWidth="1"/>
    <col min="549" max="549" width="1.08984375" style="1" bestFit="1" customWidth="1"/>
    <col min="550" max="551" width="1.6328125" style="1" bestFit="1" customWidth="1"/>
    <col min="552" max="553" width="5" style="1" bestFit="1" customWidth="1"/>
    <col min="554" max="554" width="1.6328125" style="1" bestFit="1" customWidth="1"/>
    <col min="555" max="555" width="10.08984375" style="1" bestFit="1" customWidth="1"/>
    <col min="556" max="557" width="3.453125" style="1" bestFit="1" customWidth="1"/>
    <col min="558" max="558" width="7" style="1" bestFit="1" customWidth="1"/>
    <col min="559" max="768" width="9.08984375" style="1"/>
    <col min="769" max="769" width="1.6328125" style="1" bestFit="1" customWidth="1"/>
    <col min="770" max="770" width="0.90625" style="1" bestFit="1" customWidth="1"/>
    <col min="771" max="771" width="14.54296875" style="1" bestFit="1" customWidth="1"/>
    <col min="772" max="772" width="8.6328125" style="1" bestFit="1" customWidth="1"/>
    <col min="773" max="773" width="8.984375E-2" style="1" bestFit="1" customWidth="1"/>
    <col min="774" max="774" width="0.90625" style="1" bestFit="1" customWidth="1"/>
    <col min="775" max="775" width="2" style="1" bestFit="1" customWidth="1"/>
    <col min="776" max="779" width="2.90625" style="1" bestFit="1" customWidth="1"/>
    <col min="780" max="780" width="2.54296875" style="1" bestFit="1" customWidth="1"/>
    <col min="781" max="781" width="0.36328125" style="1" bestFit="1" customWidth="1"/>
    <col min="782" max="785" width="2.90625" style="1" bestFit="1" customWidth="1"/>
    <col min="786" max="786" width="0.90625" style="1" bestFit="1" customWidth="1"/>
    <col min="787" max="787" width="2" style="1" bestFit="1" customWidth="1"/>
    <col min="788" max="789" width="2.90625" style="1" bestFit="1" customWidth="1"/>
    <col min="790" max="790" width="0.6328125" style="1" bestFit="1" customWidth="1"/>
    <col min="791" max="791" width="2.08984375" style="1" bestFit="1" customWidth="1"/>
    <col min="792" max="792" width="1.08984375" style="1" bestFit="1" customWidth="1"/>
    <col min="793" max="794" width="1.6328125" style="1" bestFit="1" customWidth="1"/>
    <col min="795" max="795" width="1.08984375" style="1" bestFit="1" customWidth="1"/>
    <col min="796" max="800" width="2.90625" style="1" bestFit="1" customWidth="1"/>
    <col min="801" max="801" width="2.6328125" style="1" bestFit="1" customWidth="1"/>
    <col min="802" max="802" width="8.984375E-2" style="1" bestFit="1" customWidth="1"/>
    <col min="803" max="804" width="2.90625" style="1" bestFit="1" customWidth="1"/>
    <col min="805" max="805" width="1.08984375" style="1" bestFit="1" customWidth="1"/>
    <col min="806" max="807" width="1.6328125" style="1" bestFit="1" customWidth="1"/>
    <col min="808" max="809" width="5" style="1" bestFit="1" customWidth="1"/>
    <col min="810" max="810" width="1.6328125" style="1" bestFit="1" customWidth="1"/>
    <col min="811" max="811" width="10.08984375" style="1" bestFit="1" customWidth="1"/>
    <col min="812" max="813" width="3.453125" style="1" bestFit="1" customWidth="1"/>
    <col min="814" max="814" width="7" style="1" bestFit="1" customWidth="1"/>
    <col min="815" max="1024" width="9.08984375" style="1"/>
    <col min="1025" max="1025" width="1.6328125" style="1" bestFit="1" customWidth="1"/>
    <col min="1026" max="1026" width="0.90625" style="1" bestFit="1" customWidth="1"/>
    <col min="1027" max="1027" width="14.54296875" style="1" bestFit="1" customWidth="1"/>
    <col min="1028" max="1028" width="8.6328125" style="1" bestFit="1" customWidth="1"/>
    <col min="1029" max="1029" width="8.984375E-2" style="1" bestFit="1" customWidth="1"/>
    <col min="1030" max="1030" width="0.90625" style="1" bestFit="1" customWidth="1"/>
    <col min="1031" max="1031" width="2" style="1" bestFit="1" customWidth="1"/>
    <col min="1032" max="1035" width="2.90625" style="1" bestFit="1" customWidth="1"/>
    <col min="1036" max="1036" width="2.54296875" style="1" bestFit="1" customWidth="1"/>
    <col min="1037" max="1037" width="0.36328125" style="1" bestFit="1" customWidth="1"/>
    <col min="1038" max="1041" width="2.90625" style="1" bestFit="1" customWidth="1"/>
    <col min="1042" max="1042" width="0.90625" style="1" bestFit="1" customWidth="1"/>
    <col min="1043" max="1043" width="2" style="1" bestFit="1" customWidth="1"/>
    <col min="1044" max="1045" width="2.90625" style="1" bestFit="1" customWidth="1"/>
    <col min="1046" max="1046" width="0.6328125" style="1" bestFit="1" customWidth="1"/>
    <col min="1047" max="1047" width="2.08984375" style="1" bestFit="1" customWidth="1"/>
    <col min="1048" max="1048" width="1.08984375" style="1" bestFit="1" customWidth="1"/>
    <col min="1049" max="1050" width="1.6328125" style="1" bestFit="1" customWidth="1"/>
    <col min="1051" max="1051" width="1.08984375" style="1" bestFit="1" customWidth="1"/>
    <col min="1052" max="1056" width="2.90625" style="1" bestFit="1" customWidth="1"/>
    <col min="1057" max="1057" width="2.6328125" style="1" bestFit="1" customWidth="1"/>
    <col min="1058" max="1058" width="8.984375E-2" style="1" bestFit="1" customWidth="1"/>
    <col min="1059" max="1060" width="2.90625" style="1" bestFit="1" customWidth="1"/>
    <col min="1061" max="1061" width="1.08984375" style="1" bestFit="1" customWidth="1"/>
    <col min="1062" max="1063" width="1.6328125" style="1" bestFit="1" customWidth="1"/>
    <col min="1064" max="1065" width="5" style="1" bestFit="1" customWidth="1"/>
    <col min="1066" max="1066" width="1.6328125" style="1" bestFit="1" customWidth="1"/>
    <col min="1067" max="1067" width="10.08984375" style="1" bestFit="1" customWidth="1"/>
    <col min="1068" max="1069" width="3.453125" style="1" bestFit="1" customWidth="1"/>
    <col min="1070" max="1070" width="7" style="1" bestFit="1" customWidth="1"/>
    <col min="1071" max="1280" width="9.08984375" style="1"/>
    <col min="1281" max="1281" width="1.6328125" style="1" bestFit="1" customWidth="1"/>
    <col min="1282" max="1282" width="0.90625" style="1" bestFit="1" customWidth="1"/>
    <col min="1283" max="1283" width="14.54296875" style="1" bestFit="1" customWidth="1"/>
    <col min="1284" max="1284" width="8.6328125" style="1" bestFit="1" customWidth="1"/>
    <col min="1285" max="1285" width="8.984375E-2" style="1" bestFit="1" customWidth="1"/>
    <col min="1286" max="1286" width="0.90625" style="1" bestFit="1" customWidth="1"/>
    <col min="1287" max="1287" width="2" style="1" bestFit="1" customWidth="1"/>
    <col min="1288" max="1291" width="2.90625" style="1" bestFit="1" customWidth="1"/>
    <col min="1292" max="1292" width="2.54296875" style="1" bestFit="1" customWidth="1"/>
    <col min="1293" max="1293" width="0.36328125" style="1" bestFit="1" customWidth="1"/>
    <col min="1294" max="1297" width="2.90625" style="1" bestFit="1" customWidth="1"/>
    <col min="1298" max="1298" width="0.90625" style="1" bestFit="1" customWidth="1"/>
    <col min="1299" max="1299" width="2" style="1" bestFit="1" customWidth="1"/>
    <col min="1300" max="1301" width="2.90625" style="1" bestFit="1" customWidth="1"/>
    <col min="1302" max="1302" width="0.6328125" style="1" bestFit="1" customWidth="1"/>
    <col min="1303" max="1303" width="2.08984375" style="1" bestFit="1" customWidth="1"/>
    <col min="1304" max="1304" width="1.08984375" style="1" bestFit="1" customWidth="1"/>
    <col min="1305" max="1306" width="1.6328125" style="1" bestFit="1" customWidth="1"/>
    <col min="1307" max="1307" width="1.08984375" style="1" bestFit="1" customWidth="1"/>
    <col min="1308" max="1312" width="2.90625" style="1" bestFit="1" customWidth="1"/>
    <col min="1313" max="1313" width="2.6328125" style="1" bestFit="1" customWidth="1"/>
    <col min="1314" max="1314" width="8.984375E-2" style="1" bestFit="1" customWidth="1"/>
    <col min="1315" max="1316" width="2.90625" style="1" bestFit="1" customWidth="1"/>
    <col min="1317" max="1317" width="1.08984375" style="1" bestFit="1" customWidth="1"/>
    <col min="1318" max="1319" width="1.6328125" style="1" bestFit="1" customWidth="1"/>
    <col min="1320" max="1321" width="5" style="1" bestFit="1" customWidth="1"/>
    <col min="1322" max="1322" width="1.6328125" style="1" bestFit="1" customWidth="1"/>
    <col min="1323" max="1323" width="10.08984375" style="1" bestFit="1" customWidth="1"/>
    <col min="1324" max="1325" width="3.453125" style="1" bestFit="1" customWidth="1"/>
    <col min="1326" max="1326" width="7" style="1" bestFit="1" customWidth="1"/>
    <col min="1327" max="1536" width="9.08984375" style="1"/>
    <col min="1537" max="1537" width="1.6328125" style="1" bestFit="1" customWidth="1"/>
    <col min="1538" max="1538" width="0.90625" style="1" bestFit="1" customWidth="1"/>
    <col min="1539" max="1539" width="14.54296875" style="1" bestFit="1" customWidth="1"/>
    <col min="1540" max="1540" width="8.6328125" style="1" bestFit="1" customWidth="1"/>
    <col min="1541" max="1541" width="8.984375E-2" style="1" bestFit="1" customWidth="1"/>
    <col min="1542" max="1542" width="0.90625" style="1" bestFit="1" customWidth="1"/>
    <col min="1543" max="1543" width="2" style="1" bestFit="1" customWidth="1"/>
    <col min="1544" max="1547" width="2.90625" style="1" bestFit="1" customWidth="1"/>
    <col min="1548" max="1548" width="2.54296875" style="1" bestFit="1" customWidth="1"/>
    <col min="1549" max="1549" width="0.36328125" style="1" bestFit="1" customWidth="1"/>
    <col min="1550" max="1553" width="2.90625" style="1" bestFit="1" customWidth="1"/>
    <col min="1554" max="1554" width="0.90625" style="1" bestFit="1" customWidth="1"/>
    <col min="1555" max="1555" width="2" style="1" bestFit="1" customWidth="1"/>
    <col min="1556" max="1557" width="2.90625" style="1" bestFit="1" customWidth="1"/>
    <col min="1558" max="1558" width="0.6328125" style="1" bestFit="1" customWidth="1"/>
    <col min="1559" max="1559" width="2.08984375" style="1" bestFit="1" customWidth="1"/>
    <col min="1560" max="1560" width="1.08984375" style="1" bestFit="1" customWidth="1"/>
    <col min="1561" max="1562" width="1.6328125" style="1" bestFit="1" customWidth="1"/>
    <col min="1563" max="1563" width="1.08984375" style="1" bestFit="1" customWidth="1"/>
    <col min="1564" max="1568" width="2.90625" style="1" bestFit="1" customWidth="1"/>
    <col min="1569" max="1569" width="2.6328125" style="1" bestFit="1" customWidth="1"/>
    <col min="1570" max="1570" width="8.984375E-2" style="1" bestFit="1" customWidth="1"/>
    <col min="1571" max="1572" width="2.90625" style="1" bestFit="1" customWidth="1"/>
    <col min="1573" max="1573" width="1.08984375" style="1" bestFit="1" customWidth="1"/>
    <col min="1574" max="1575" width="1.6328125" style="1" bestFit="1" customWidth="1"/>
    <col min="1576" max="1577" width="5" style="1" bestFit="1" customWidth="1"/>
    <col min="1578" max="1578" width="1.6328125" style="1" bestFit="1" customWidth="1"/>
    <col min="1579" max="1579" width="10.08984375" style="1" bestFit="1" customWidth="1"/>
    <col min="1580" max="1581" width="3.453125" style="1" bestFit="1" customWidth="1"/>
    <col min="1582" max="1582" width="7" style="1" bestFit="1" customWidth="1"/>
    <col min="1583" max="1792" width="9.08984375" style="1"/>
    <col min="1793" max="1793" width="1.6328125" style="1" bestFit="1" customWidth="1"/>
    <col min="1794" max="1794" width="0.90625" style="1" bestFit="1" customWidth="1"/>
    <col min="1795" max="1795" width="14.54296875" style="1" bestFit="1" customWidth="1"/>
    <col min="1796" max="1796" width="8.6328125" style="1" bestFit="1" customWidth="1"/>
    <col min="1797" max="1797" width="8.984375E-2" style="1" bestFit="1" customWidth="1"/>
    <col min="1798" max="1798" width="0.90625" style="1" bestFit="1" customWidth="1"/>
    <col min="1799" max="1799" width="2" style="1" bestFit="1" customWidth="1"/>
    <col min="1800" max="1803" width="2.90625" style="1" bestFit="1" customWidth="1"/>
    <col min="1804" max="1804" width="2.54296875" style="1" bestFit="1" customWidth="1"/>
    <col min="1805" max="1805" width="0.36328125" style="1" bestFit="1" customWidth="1"/>
    <col min="1806" max="1809" width="2.90625" style="1" bestFit="1" customWidth="1"/>
    <col min="1810" max="1810" width="0.90625" style="1" bestFit="1" customWidth="1"/>
    <col min="1811" max="1811" width="2" style="1" bestFit="1" customWidth="1"/>
    <col min="1812" max="1813" width="2.90625" style="1" bestFit="1" customWidth="1"/>
    <col min="1814" max="1814" width="0.6328125" style="1" bestFit="1" customWidth="1"/>
    <col min="1815" max="1815" width="2.08984375" style="1" bestFit="1" customWidth="1"/>
    <col min="1816" max="1816" width="1.08984375" style="1" bestFit="1" customWidth="1"/>
    <col min="1817" max="1818" width="1.6328125" style="1" bestFit="1" customWidth="1"/>
    <col min="1819" max="1819" width="1.08984375" style="1" bestFit="1" customWidth="1"/>
    <col min="1820" max="1824" width="2.90625" style="1" bestFit="1" customWidth="1"/>
    <col min="1825" max="1825" width="2.6328125" style="1" bestFit="1" customWidth="1"/>
    <col min="1826" max="1826" width="8.984375E-2" style="1" bestFit="1" customWidth="1"/>
    <col min="1827" max="1828" width="2.90625" style="1" bestFit="1" customWidth="1"/>
    <col min="1829" max="1829" width="1.08984375" style="1" bestFit="1" customWidth="1"/>
    <col min="1830" max="1831" width="1.6328125" style="1" bestFit="1" customWidth="1"/>
    <col min="1832" max="1833" width="5" style="1" bestFit="1" customWidth="1"/>
    <col min="1834" max="1834" width="1.6328125" style="1" bestFit="1" customWidth="1"/>
    <col min="1835" max="1835" width="10.08984375" style="1" bestFit="1" customWidth="1"/>
    <col min="1836" max="1837" width="3.453125" style="1" bestFit="1" customWidth="1"/>
    <col min="1838" max="1838" width="7" style="1" bestFit="1" customWidth="1"/>
    <col min="1839" max="2048" width="9.08984375" style="1"/>
    <col min="2049" max="2049" width="1.6328125" style="1" bestFit="1" customWidth="1"/>
    <col min="2050" max="2050" width="0.90625" style="1" bestFit="1" customWidth="1"/>
    <col min="2051" max="2051" width="14.54296875" style="1" bestFit="1" customWidth="1"/>
    <col min="2052" max="2052" width="8.6328125" style="1" bestFit="1" customWidth="1"/>
    <col min="2053" max="2053" width="8.984375E-2" style="1" bestFit="1" customWidth="1"/>
    <col min="2054" max="2054" width="0.90625" style="1" bestFit="1" customWidth="1"/>
    <col min="2055" max="2055" width="2" style="1" bestFit="1" customWidth="1"/>
    <col min="2056" max="2059" width="2.90625" style="1" bestFit="1" customWidth="1"/>
    <col min="2060" max="2060" width="2.54296875" style="1" bestFit="1" customWidth="1"/>
    <col min="2061" max="2061" width="0.36328125" style="1" bestFit="1" customWidth="1"/>
    <col min="2062" max="2065" width="2.90625" style="1" bestFit="1" customWidth="1"/>
    <col min="2066" max="2066" width="0.90625" style="1" bestFit="1" customWidth="1"/>
    <col min="2067" max="2067" width="2" style="1" bestFit="1" customWidth="1"/>
    <col min="2068" max="2069" width="2.90625" style="1" bestFit="1" customWidth="1"/>
    <col min="2070" max="2070" width="0.6328125" style="1" bestFit="1" customWidth="1"/>
    <col min="2071" max="2071" width="2.08984375" style="1" bestFit="1" customWidth="1"/>
    <col min="2072" max="2072" width="1.08984375" style="1" bestFit="1" customWidth="1"/>
    <col min="2073" max="2074" width="1.6328125" style="1" bestFit="1" customWidth="1"/>
    <col min="2075" max="2075" width="1.08984375" style="1" bestFit="1" customWidth="1"/>
    <col min="2076" max="2080" width="2.90625" style="1" bestFit="1" customWidth="1"/>
    <col min="2081" max="2081" width="2.6328125" style="1" bestFit="1" customWidth="1"/>
    <col min="2082" max="2082" width="8.984375E-2" style="1" bestFit="1" customWidth="1"/>
    <col min="2083" max="2084" width="2.90625" style="1" bestFit="1" customWidth="1"/>
    <col min="2085" max="2085" width="1.08984375" style="1" bestFit="1" customWidth="1"/>
    <col min="2086" max="2087" width="1.6328125" style="1" bestFit="1" customWidth="1"/>
    <col min="2088" max="2089" width="5" style="1" bestFit="1" customWidth="1"/>
    <col min="2090" max="2090" width="1.6328125" style="1" bestFit="1" customWidth="1"/>
    <col min="2091" max="2091" width="10.08984375" style="1" bestFit="1" customWidth="1"/>
    <col min="2092" max="2093" width="3.453125" style="1" bestFit="1" customWidth="1"/>
    <col min="2094" max="2094" width="7" style="1" bestFit="1" customWidth="1"/>
    <col min="2095" max="2304" width="9.08984375" style="1"/>
    <col min="2305" max="2305" width="1.6328125" style="1" bestFit="1" customWidth="1"/>
    <col min="2306" max="2306" width="0.90625" style="1" bestFit="1" customWidth="1"/>
    <col min="2307" max="2307" width="14.54296875" style="1" bestFit="1" customWidth="1"/>
    <col min="2308" max="2308" width="8.6328125" style="1" bestFit="1" customWidth="1"/>
    <col min="2309" max="2309" width="8.984375E-2" style="1" bestFit="1" customWidth="1"/>
    <col min="2310" max="2310" width="0.90625" style="1" bestFit="1" customWidth="1"/>
    <col min="2311" max="2311" width="2" style="1" bestFit="1" customWidth="1"/>
    <col min="2312" max="2315" width="2.90625" style="1" bestFit="1" customWidth="1"/>
    <col min="2316" max="2316" width="2.54296875" style="1" bestFit="1" customWidth="1"/>
    <col min="2317" max="2317" width="0.36328125" style="1" bestFit="1" customWidth="1"/>
    <col min="2318" max="2321" width="2.90625" style="1" bestFit="1" customWidth="1"/>
    <col min="2322" max="2322" width="0.90625" style="1" bestFit="1" customWidth="1"/>
    <col min="2323" max="2323" width="2" style="1" bestFit="1" customWidth="1"/>
    <col min="2324" max="2325" width="2.90625" style="1" bestFit="1" customWidth="1"/>
    <col min="2326" max="2326" width="0.6328125" style="1" bestFit="1" customWidth="1"/>
    <col min="2327" max="2327" width="2.08984375" style="1" bestFit="1" customWidth="1"/>
    <col min="2328" max="2328" width="1.08984375" style="1" bestFit="1" customWidth="1"/>
    <col min="2329" max="2330" width="1.6328125" style="1" bestFit="1" customWidth="1"/>
    <col min="2331" max="2331" width="1.08984375" style="1" bestFit="1" customWidth="1"/>
    <col min="2332" max="2336" width="2.90625" style="1" bestFit="1" customWidth="1"/>
    <col min="2337" max="2337" width="2.6328125" style="1" bestFit="1" customWidth="1"/>
    <col min="2338" max="2338" width="8.984375E-2" style="1" bestFit="1" customWidth="1"/>
    <col min="2339" max="2340" width="2.90625" style="1" bestFit="1" customWidth="1"/>
    <col min="2341" max="2341" width="1.08984375" style="1" bestFit="1" customWidth="1"/>
    <col min="2342" max="2343" width="1.6328125" style="1" bestFit="1" customWidth="1"/>
    <col min="2344" max="2345" width="5" style="1" bestFit="1" customWidth="1"/>
    <col min="2346" max="2346" width="1.6328125" style="1" bestFit="1" customWidth="1"/>
    <col min="2347" max="2347" width="10.08984375" style="1" bestFit="1" customWidth="1"/>
    <col min="2348" max="2349" width="3.453125" style="1" bestFit="1" customWidth="1"/>
    <col min="2350" max="2350" width="7" style="1" bestFit="1" customWidth="1"/>
    <col min="2351" max="2560" width="9.08984375" style="1"/>
    <col min="2561" max="2561" width="1.6328125" style="1" bestFit="1" customWidth="1"/>
    <col min="2562" max="2562" width="0.90625" style="1" bestFit="1" customWidth="1"/>
    <col min="2563" max="2563" width="14.54296875" style="1" bestFit="1" customWidth="1"/>
    <col min="2564" max="2564" width="8.6328125" style="1" bestFit="1" customWidth="1"/>
    <col min="2565" max="2565" width="8.984375E-2" style="1" bestFit="1" customWidth="1"/>
    <col min="2566" max="2566" width="0.90625" style="1" bestFit="1" customWidth="1"/>
    <col min="2567" max="2567" width="2" style="1" bestFit="1" customWidth="1"/>
    <col min="2568" max="2571" width="2.90625" style="1" bestFit="1" customWidth="1"/>
    <col min="2572" max="2572" width="2.54296875" style="1" bestFit="1" customWidth="1"/>
    <col min="2573" max="2573" width="0.36328125" style="1" bestFit="1" customWidth="1"/>
    <col min="2574" max="2577" width="2.90625" style="1" bestFit="1" customWidth="1"/>
    <col min="2578" max="2578" width="0.90625" style="1" bestFit="1" customWidth="1"/>
    <col min="2579" max="2579" width="2" style="1" bestFit="1" customWidth="1"/>
    <col min="2580" max="2581" width="2.90625" style="1" bestFit="1" customWidth="1"/>
    <col min="2582" max="2582" width="0.6328125" style="1" bestFit="1" customWidth="1"/>
    <col min="2583" max="2583" width="2.08984375" style="1" bestFit="1" customWidth="1"/>
    <col min="2584" max="2584" width="1.08984375" style="1" bestFit="1" customWidth="1"/>
    <col min="2585" max="2586" width="1.6328125" style="1" bestFit="1" customWidth="1"/>
    <col min="2587" max="2587" width="1.08984375" style="1" bestFit="1" customWidth="1"/>
    <col min="2588" max="2592" width="2.90625" style="1" bestFit="1" customWidth="1"/>
    <col min="2593" max="2593" width="2.6328125" style="1" bestFit="1" customWidth="1"/>
    <col min="2594" max="2594" width="8.984375E-2" style="1" bestFit="1" customWidth="1"/>
    <col min="2595" max="2596" width="2.90625" style="1" bestFit="1" customWidth="1"/>
    <col min="2597" max="2597" width="1.08984375" style="1" bestFit="1" customWidth="1"/>
    <col min="2598" max="2599" width="1.6328125" style="1" bestFit="1" customWidth="1"/>
    <col min="2600" max="2601" width="5" style="1" bestFit="1" customWidth="1"/>
    <col min="2602" max="2602" width="1.6328125" style="1" bestFit="1" customWidth="1"/>
    <col min="2603" max="2603" width="10.08984375" style="1" bestFit="1" customWidth="1"/>
    <col min="2604" max="2605" width="3.453125" style="1" bestFit="1" customWidth="1"/>
    <col min="2606" max="2606" width="7" style="1" bestFit="1" customWidth="1"/>
    <col min="2607" max="2816" width="9.08984375" style="1"/>
    <col min="2817" max="2817" width="1.6328125" style="1" bestFit="1" customWidth="1"/>
    <col min="2818" max="2818" width="0.90625" style="1" bestFit="1" customWidth="1"/>
    <col min="2819" max="2819" width="14.54296875" style="1" bestFit="1" customWidth="1"/>
    <col min="2820" max="2820" width="8.6328125" style="1" bestFit="1" customWidth="1"/>
    <col min="2821" max="2821" width="8.984375E-2" style="1" bestFit="1" customWidth="1"/>
    <col min="2822" max="2822" width="0.90625" style="1" bestFit="1" customWidth="1"/>
    <col min="2823" max="2823" width="2" style="1" bestFit="1" customWidth="1"/>
    <col min="2824" max="2827" width="2.90625" style="1" bestFit="1" customWidth="1"/>
    <col min="2828" max="2828" width="2.54296875" style="1" bestFit="1" customWidth="1"/>
    <col min="2829" max="2829" width="0.36328125" style="1" bestFit="1" customWidth="1"/>
    <col min="2830" max="2833" width="2.90625" style="1" bestFit="1" customWidth="1"/>
    <col min="2834" max="2834" width="0.90625" style="1" bestFit="1" customWidth="1"/>
    <col min="2835" max="2835" width="2" style="1" bestFit="1" customWidth="1"/>
    <col min="2836" max="2837" width="2.90625" style="1" bestFit="1" customWidth="1"/>
    <col min="2838" max="2838" width="0.6328125" style="1" bestFit="1" customWidth="1"/>
    <col min="2839" max="2839" width="2.08984375" style="1" bestFit="1" customWidth="1"/>
    <col min="2840" max="2840" width="1.08984375" style="1" bestFit="1" customWidth="1"/>
    <col min="2841" max="2842" width="1.6328125" style="1" bestFit="1" customWidth="1"/>
    <col min="2843" max="2843" width="1.08984375" style="1" bestFit="1" customWidth="1"/>
    <col min="2844" max="2848" width="2.90625" style="1" bestFit="1" customWidth="1"/>
    <col min="2849" max="2849" width="2.6328125" style="1" bestFit="1" customWidth="1"/>
    <col min="2850" max="2850" width="8.984375E-2" style="1" bestFit="1" customWidth="1"/>
    <col min="2851" max="2852" width="2.90625" style="1" bestFit="1" customWidth="1"/>
    <col min="2853" max="2853" width="1.08984375" style="1" bestFit="1" customWidth="1"/>
    <col min="2854" max="2855" width="1.6328125" style="1" bestFit="1" customWidth="1"/>
    <col min="2856" max="2857" width="5" style="1" bestFit="1" customWidth="1"/>
    <col min="2858" max="2858" width="1.6328125" style="1" bestFit="1" customWidth="1"/>
    <col min="2859" max="2859" width="10.08984375" style="1" bestFit="1" customWidth="1"/>
    <col min="2860" max="2861" width="3.453125" style="1" bestFit="1" customWidth="1"/>
    <col min="2862" max="2862" width="7" style="1" bestFit="1" customWidth="1"/>
    <col min="2863" max="3072" width="9.08984375" style="1"/>
    <col min="3073" max="3073" width="1.6328125" style="1" bestFit="1" customWidth="1"/>
    <col min="3074" max="3074" width="0.90625" style="1" bestFit="1" customWidth="1"/>
    <col min="3075" max="3075" width="14.54296875" style="1" bestFit="1" customWidth="1"/>
    <col min="3076" max="3076" width="8.6328125" style="1" bestFit="1" customWidth="1"/>
    <col min="3077" max="3077" width="8.984375E-2" style="1" bestFit="1" customWidth="1"/>
    <col min="3078" max="3078" width="0.90625" style="1" bestFit="1" customWidth="1"/>
    <col min="3079" max="3079" width="2" style="1" bestFit="1" customWidth="1"/>
    <col min="3080" max="3083" width="2.90625" style="1" bestFit="1" customWidth="1"/>
    <col min="3084" max="3084" width="2.54296875" style="1" bestFit="1" customWidth="1"/>
    <col min="3085" max="3085" width="0.36328125" style="1" bestFit="1" customWidth="1"/>
    <col min="3086" max="3089" width="2.90625" style="1" bestFit="1" customWidth="1"/>
    <col min="3090" max="3090" width="0.90625" style="1" bestFit="1" customWidth="1"/>
    <col min="3091" max="3091" width="2" style="1" bestFit="1" customWidth="1"/>
    <col min="3092" max="3093" width="2.90625" style="1" bestFit="1" customWidth="1"/>
    <col min="3094" max="3094" width="0.6328125" style="1" bestFit="1" customWidth="1"/>
    <col min="3095" max="3095" width="2.08984375" style="1" bestFit="1" customWidth="1"/>
    <col min="3096" max="3096" width="1.08984375" style="1" bestFit="1" customWidth="1"/>
    <col min="3097" max="3098" width="1.6328125" style="1" bestFit="1" customWidth="1"/>
    <col min="3099" max="3099" width="1.08984375" style="1" bestFit="1" customWidth="1"/>
    <col min="3100" max="3104" width="2.90625" style="1" bestFit="1" customWidth="1"/>
    <col min="3105" max="3105" width="2.6328125" style="1" bestFit="1" customWidth="1"/>
    <col min="3106" max="3106" width="8.984375E-2" style="1" bestFit="1" customWidth="1"/>
    <col min="3107" max="3108" width="2.90625" style="1" bestFit="1" customWidth="1"/>
    <col min="3109" max="3109" width="1.08984375" style="1" bestFit="1" customWidth="1"/>
    <col min="3110" max="3111" width="1.6328125" style="1" bestFit="1" customWidth="1"/>
    <col min="3112" max="3113" width="5" style="1" bestFit="1" customWidth="1"/>
    <col min="3114" max="3114" width="1.6328125" style="1" bestFit="1" customWidth="1"/>
    <col min="3115" max="3115" width="10.08984375" style="1" bestFit="1" customWidth="1"/>
    <col min="3116" max="3117" width="3.453125" style="1" bestFit="1" customWidth="1"/>
    <col min="3118" max="3118" width="7" style="1" bestFit="1" customWidth="1"/>
    <col min="3119" max="3328" width="9.08984375" style="1"/>
    <col min="3329" max="3329" width="1.6328125" style="1" bestFit="1" customWidth="1"/>
    <col min="3330" max="3330" width="0.90625" style="1" bestFit="1" customWidth="1"/>
    <col min="3331" max="3331" width="14.54296875" style="1" bestFit="1" customWidth="1"/>
    <col min="3332" max="3332" width="8.6328125" style="1" bestFit="1" customWidth="1"/>
    <col min="3333" max="3333" width="8.984375E-2" style="1" bestFit="1" customWidth="1"/>
    <col min="3334" max="3334" width="0.90625" style="1" bestFit="1" customWidth="1"/>
    <col min="3335" max="3335" width="2" style="1" bestFit="1" customWidth="1"/>
    <col min="3336" max="3339" width="2.90625" style="1" bestFit="1" customWidth="1"/>
    <col min="3340" max="3340" width="2.54296875" style="1" bestFit="1" customWidth="1"/>
    <col min="3341" max="3341" width="0.36328125" style="1" bestFit="1" customWidth="1"/>
    <col min="3342" max="3345" width="2.90625" style="1" bestFit="1" customWidth="1"/>
    <col min="3346" max="3346" width="0.90625" style="1" bestFit="1" customWidth="1"/>
    <col min="3347" max="3347" width="2" style="1" bestFit="1" customWidth="1"/>
    <col min="3348" max="3349" width="2.90625" style="1" bestFit="1" customWidth="1"/>
    <col min="3350" max="3350" width="0.6328125" style="1" bestFit="1" customWidth="1"/>
    <col min="3351" max="3351" width="2.08984375" style="1" bestFit="1" customWidth="1"/>
    <col min="3352" max="3352" width="1.08984375" style="1" bestFit="1" customWidth="1"/>
    <col min="3353" max="3354" width="1.6328125" style="1" bestFit="1" customWidth="1"/>
    <col min="3355" max="3355" width="1.08984375" style="1" bestFit="1" customWidth="1"/>
    <col min="3356" max="3360" width="2.90625" style="1" bestFit="1" customWidth="1"/>
    <col min="3361" max="3361" width="2.6328125" style="1" bestFit="1" customWidth="1"/>
    <col min="3362" max="3362" width="8.984375E-2" style="1" bestFit="1" customWidth="1"/>
    <col min="3363" max="3364" width="2.90625" style="1" bestFit="1" customWidth="1"/>
    <col min="3365" max="3365" width="1.08984375" style="1" bestFit="1" customWidth="1"/>
    <col min="3366" max="3367" width="1.6328125" style="1" bestFit="1" customWidth="1"/>
    <col min="3368" max="3369" width="5" style="1" bestFit="1" customWidth="1"/>
    <col min="3370" max="3370" width="1.6328125" style="1" bestFit="1" customWidth="1"/>
    <col min="3371" max="3371" width="10.08984375" style="1" bestFit="1" customWidth="1"/>
    <col min="3372" max="3373" width="3.453125" style="1" bestFit="1" customWidth="1"/>
    <col min="3374" max="3374" width="7" style="1" bestFit="1" customWidth="1"/>
    <col min="3375" max="3584" width="9.08984375" style="1"/>
    <col min="3585" max="3585" width="1.6328125" style="1" bestFit="1" customWidth="1"/>
    <col min="3586" max="3586" width="0.90625" style="1" bestFit="1" customWidth="1"/>
    <col min="3587" max="3587" width="14.54296875" style="1" bestFit="1" customWidth="1"/>
    <col min="3588" max="3588" width="8.6328125" style="1" bestFit="1" customWidth="1"/>
    <col min="3589" max="3589" width="8.984375E-2" style="1" bestFit="1" customWidth="1"/>
    <col min="3590" max="3590" width="0.90625" style="1" bestFit="1" customWidth="1"/>
    <col min="3591" max="3591" width="2" style="1" bestFit="1" customWidth="1"/>
    <col min="3592" max="3595" width="2.90625" style="1" bestFit="1" customWidth="1"/>
    <col min="3596" max="3596" width="2.54296875" style="1" bestFit="1" customWidth="1"/>
    <col min="3597" max="3597" width="0.36328125" style="1" bestFit="1" customWidth="1"/>
    <col min="3598" max="3601" width="2.90625" style="1" bestFit="1" customWidth="1"/>
    <col min="3602" max="3602" width="0.90625" style="1" bestFit="1" customWidth="1"/>
    <col min="3603" max="3603" width="2" style="1" bestFit="1" customWidth="1"/>
    <col min="3604" max="3605" width="2.90625" style="1" bestFit="1" customWidth="1"/>
    <col min="3606" max="3606" width="0.6328125" style="1" bestFit="1" customWidth="1"/>
    <col min="3607" max="3607" width="2.08984375" style="1" bestFit="1" customWidth="1"/>
    <col min="3608" max="3608" width="1.08984375" style="1" bestFit="1" customWidth="1"/>
    <col min="3609" max="3610" width="1.6328125" style="1" bestFit="1" customWidth="1"/>
    <col min="3611" max="3611" width="1.08984375" style="1" bestFit="1" customWidth="1"/>
    <col min="3612" max="3616" width="2.90625" style="1" bestFit="1" customWidth="1"/>
    <col min="3617" max="3617" width="2.6328125" style="1" bestFit="1" customWidth="1"/>
    <col min="3618" max="3618" width="8.984375E-2" style="1" bestFit="1" customWidth="1"/>
    <col min="3619" max="3620" width="2.90625" style="1" bestFit="1" customWidth="1"/>
    <col min="3621" max="3621" width="1.08984375" style="1" bestFit="1" customWidth="1"/>
    <col min="3622" max="3623" width="1.6328125" style="1" bestFit="1" customWidth="1"/>
    <col min="3624" max="3625" width="5" style="1" bestFit="1" customWidth="1"/>
    <col min="3626" max="3626" width="1.6328125" style="1" bestFit="1" customWidth="1"/>
    <col min="3627" max="3627" width="10.08984375" style="1" bestFit="1" customWidth="1"/>
    <col min="3628" max="3629" width="3.453125" style="1" bestFit="1" customWidth="1"/>
    <col min="3630" max="3630" width="7" style="1" bestFit="1" customWidth="1"/>
    <col min="3631" max="3840" width="9.08984375" style="1"/>
    <col min="3841" max="3841" width="1.6328125" style="1" bestFit="1" customWidth="1"/>
    <col min="3842" max="3842" width="0.90625" style="1" bestFit="1" customWidth="1"/>
    <col min="3843" max="3843" width="14.54296875" style="1" bestFit="1" customWidth="1"/>
    <col min="3844" max="3844" width="8.6328125" style="1" bestFit="1" customWidth="1"/>
    <col min="3845" max="3845" width="8.984375E-2" style="1" bestFit="1" customWidth="1"/>
    <col min="3846" max="3846" width="0.90625" style="1" bestFit="1" customWidth="1"/>
    <col min="3847" max="3847" width="2" style="1" bestFit="1" customWidth="1"/>
    <col min="3848" max="3851" width="2.90625" style="1" bestFit="1" customWidth="1"/>
    <col min="3852" max="3852" width="2.54296875" style="1" bestFit="1" customWidth="1"/>
    <col min="3853" max="3853" width="0.36328125" style="1" bestFit="1" customWidth="1"/>
    <col min="3854" max="3857" width="2.90625" style="1" bestFit="1" customWidth="1"/>
    <col min="3858" max="3858" width="0.90625" style="1" bestFit="1" customWidth="1"/>
    <col min="3859" max="3859" width="2" style="1" bestFit="1" customWidth="1"/>
    <col min="3860" max="3861" width="2.90625" style="1" bestFit="1" customWidth="1"/>
    <col min="3862" max="3862" width="0.6328125" style="1" bestFit="1" customWidth="1"/>
    <col min="3863" max="3863" width="2.08984375" style="1" bestFit="1" customWidth="1"/>
    <col min="3864" max="3864" width="1.08984375" style="1" bestFit="1" customWidth="1"/>
    <col min="3865" max="3866" width="1.6328125" style="1" bestFit="1" customWidth="1"/>
    <col min="3867" max="3867" width="1.08984375" style="1" bestFit="1" customWidth="1"/>
    <col min="3868" max="3872" width="2.90625" style="1" bestFit="1" customWidth="1"/>
    <col min="3873" max="3873" width="2.6328125" style="1" bestFit="1" customWidth="1"/>
    <col min="3874" max="3874" width="8.984375E-2" style="1" bestFit="1" customWidth="1"/>
    <col min="3875" max="3876" width="2.90625" style="1" bestFit="1" customWidth="1"/>
    <col min="3877" max="3877" width="1.08984375" style="1" bestFit="1" customWidth="1"/>
    <col min="3878" max="3879" width="1.6328125" style="1" bestFit="1" customWidth="1"/>
    <col min="3880" max="3881" width="5" style="1" bestFit="1" customWidth="1"/>
    <col min="3882" max="3882" width="1.6328125" style="1" bestFit="1" customWidth="1"/>
    <col min="3883" max="3883" width="10.08984375" style="1" bestFit="1" customWidth="1"/>
    <col min="3884" max="3885" width="3.453125" style="1" bestFit="1" customWidth="1"/>
    <col min="3886" max="3886" width="7" style="1" bestFit="1" customWidth="1"/>
    <col min="3887" max="4096" width="9.08984375" style="1"/>
    <col min="4097" max="4097" width="1.6328125" style="1" bestFit="1" customWidth="1"/>
    <col min="4098" max="4098" width="0.90625" style="1" bestFit="1" customWidth="1"/>
    <col min="4099" max="4099" width="14.54296875" style="1" bestFit="1" customWidth="1"/>
    <col min="4100" max="4100" width="8.6328125" style="1" bestFit="1" customWidth="1"/>
    <col min="4101" max="4101" width="8.984375E-2" style="1" bestFit="1" customWidth="1"/>
    <col min="4102" max="4102" width="0.90625" style="1" bestFit="1" customWidth="1"/>
    <col min="4103" max="4103" width="2" style="1" bestFit="1" customWidth="1"/>
    <col min="4104" max="4107" width="2.90625" style="1" bestFit="1" customWidth="1"/>
    <col min="4108" max="4108" width="2.54296875" style="1" bestFit="1" customWidth="1"/>
    <col min="4109" max="4109" width="0.36328125" style="1" bestFit="1" customWidth="1"/>
    <col min="4110" max="4113" width="2.90625" style="1" bestFit="1" customWidth="1"/>
    <col min="4114" max="4114" width="0.90625" style="1" bestFit="1" customWidth="1"/>
    <col min="4115" max="4115" width="2" style="1" bestFit="1" customWidth="1"/>
    <col min="4116" max="4117" width="2.90625" style="1" bestFit="1" customWidth="1"/>
    <col min="4118" max="4118" width="0.6328125" style="1" bestFit="1" customWidth="1"/>
    <col min="4119" max="4119" width="2.08984375" style="1" bestFit="1" customWidth="1"/>
    <col min="4120" max="4120" width="1.08984375" style="1" bestFit="1" customWidth="1"/>
    <col min="4121" max="4122" width="1.6328125" style="1" bestFit="1" customWidth="1"/>
    <col min="4123" max="4123" width="1.08984375" style="1" bestFit="1" customWidth="1"/>
    <col min="4124" max="4128" width="2.90625" style="1" bestFit="1" customWidth="1"/>
    <col min="4129" max="4129" width="2.6328125" style="1" bestFit="1" customWidth="1"/>
    <col min="4130" max="4130" width="8.984375E-2" style="1" bestFit="1" customWidth="1"/>
    <col min="4131" max="4132" width="2.90625" style="1" bestFit="1" customWidth="1"/>
    <col min="4133" max="4133" width="1.08984375" style="1" bestFit="1" customWidth="1"/>
    <col min="4134" max="4135" width="1.6328125" style="1" bestFit="1" customWidth="1"/>
    <col min="4136" max="4137" width="5" style="1" bestFit="1" customWidth="1"/>
    <col min="4138" max="4138" width="1.6328125" style="1" bestFit="1" customWidth="1"/>
    <col min="4139" max="4139" width="10.08984375" style="1" bestFit="1" customWidth="1"/>
    <col min="4140" max="4141" width="3.453125" style="1" bestFit="1" customWidth="1"/>
    <col min="4142" max="4142" width="7" style="1" bestFit="1" customWidth="1"/>
    <col min="4143" max="4352" width="9.08984375" style="1"/>
    <col min="4353" max="4353" width="1.6328125" style="1" bestFit="1" customWidth="1"/>
    <col min="4354" max="4354" width="0.90625" style="1" bestFit="1" customWidth="1"/>
    <col min="4355" max="4355" width="14.54296875" style="1" bestFit="1" customWidth="1"/>
    <col min="4356" max="4356" width="8.6328125" style="1" bestFit="1" customWidth="1"/>
    <col min="4357" max="4357" width="8.984375E-2" style="1" bestFit="1" customWidth="1"/>
    <col min="4358" max="4358" width="0.90625" style="1" bestFit="1" customWidth="1"/>
    <col min="4359" max="4359" width="2" style="1" bestFit="1" customWidth="1"/>
    <col min="4360" max="4363" width="2.90625" style="1" bestFit="1" customWidth="1"/>
    <col min="4364" max="4364" width="2.54296875" style="1" bestFit="1" customWidth="1"/>
    <col min="4365" max="4365" width="0.36328125" style="1" bestFit="1" customWidth="1"/>
    <col min="4366" max="4369" width="2.90625" style="1" bestFit="1" customWidth="1"/>
    <col min="4370" max="4370" width="0.90625" style="1" bestFit="1" customWidth="1"/>
    <col min="4371" max="4371" width="2" style="1" bestFit="1" customWidth="1"/>
    <col min="4372" max="4373" width="2.90625" style="1" bestFit="1" customWidth="1"/>
    <col min="4374" max="4374" width="0.6328125" style="1" bestFit="1" customWidth="1"/>
    <col min="4375" max="4375" width="2.08984375" style="1" bestFit="1" customWidth="1"/>
    <col min="4376" max="4376" width="1.08984375" style="1" bestFit="1" customWidth="1"/>
    <col min="4377" max="4378" width="1.6328125" style="1" bestFit="1" customWidth="1"/>
    <col min="4379" max="4379" width="1.08984375" style="1" bestFit="1" customWidth="1"/>
    <col min="4380" max="4384" width="2.90625" style="1" bestFit="1" customWidth="1"/>
    <col min="4385" max="4385" width="2.6328125" style="1" bestFit="1" customWidth="1"/>
    <col min="4386" max="4386" width="8.984375E-2" style="1" bestFit="1" customWidth="1"/>
    <col min="4387" max="4388" width="2.90625" style="1" bestFit="1" customWidth="1"/>
    <col min="4389" max="4389" width="1.08984375" style="1" bestFit="1" customWidth="1"/>
    <col min="4390" max="4391" width="1.6328125" style="1" bestFit="1" customWidth="1"/>
    <col min="4392" max="4393" width="5" style="1" bestFit="1" customWidth="1"/>
    <col min="4394" max="4394" width="1.6328125" style="1" bestFit="1" customWidth="1"/>
    <col min="4395" max="4395" width="10.08984375" style="1" bestFit="1" customWidth="1"/>
    <col min="4396" max="4397" width="3.453125" style="1" bestFit="1" customWidth="1"/>
    <col min="4398" max="4398" width="7" style="1" bestFit="1" customWidth="1"/>
    <col min="4399" max="4608" width="9.08984375" style="1"/>
    <col min="4609" max="4609" width="1.6328125" style="1" bestFit="1" customWidth="1"/>
    <col min="4610" max="4610" width="0.90625" style="1" bestFit="1" customWidth="1"/>
    <col min="4611" max="4611" width="14.54296875" style="1" bestFit="1" customWidth="1"/>
    <col min="4612" max="4612" width="8.6328125" style="1" bestFit="1" customWidth="1"/>
    <col min="4613" max="4613" width="8.984375E-2" style="1" bestFit="1" customWidth="1"/>
    <col min="4614" max="4614" width="0.90625" style="1" bestFit="1" customWidth="1"/>
    <col min="4615" max="4615" width="2" style="1" bestFit="1" customWidth="1"/>
    <col min="4616" max="4619" width="2.90625" style="1" bestFit="1" customWidth="1"/>
    <col min="4620" max="4620" width="2.54296875" style="1" bestFit="1" customWidth="1"/>
    <col min="4621" max="4621" width="0.36328125" style="1" bestFit="1" customWidth="1"/>
    <col min="4622" max="4625" width="2.90625" style="1" bestFit="1" customWidth="1"/>
    <col min="4626" max="4626" width="0.90625" style="1" bestFit="1" customWidth="1"/>
    <col min="4627" max="4627" width="2" style="1" bestFit="1" customWidth="1"/>
    <col min="4628" max="4629" width="2.90625" style="1" bestFit="1" customWidth="1"/>
    <col min="4630" max="4630" width="0.6328125" style="1" bestFit="1" customWidth="1"/>
    <col min="4631" max="4631" width="2.08984375" style="1" bestFit="1" customWidth="1"/>
    <col min="4632" max="4632" width="1.08984375" style="1" bestFit="1" customWidth="1"/>
    <col min="4633" max="4634" width="1.6328125" style="1" bestFit="1" customWidth="1"/>
    <col min="4635" max="4635" width="1.08984375" style="1" bestFit="1" customWidth="1"/>
    <col min="4636" max="4640" width="2.90625" style="1" bestFit="1" customWidth="1"/>
    <col min="4641" max="4641" width="2.6328125" style="1" bestFit="1" customWidth="1"/>
    <col min="4642" max="4642" width="8.984375E-2" style="1" bestFit="1" customWidth="1"/>
    <col min="4643" max="4644" width="2.90625" style="1" bestFit="1" customWidth="1"/>
    <col min="4645" max="4645" width="1.08984375" style="1" bestFit="1" customWidth="1"/>
    <col min="4646" max="4647" width="1.6328125" style="1" bestFit="1" customWidth="1"/>
    <col min="4648" max="4649" width="5" style="1" bestFit="1" customWidth="1"/>
    <col min="4650" max="4650" width="1.6328125" style="1" bestFit="1" customWidth="1"/>
    <col min="4651" max="4651" width="10.08984375" style="1" bestFit="1" customWidth="1"/>
    <col min="4652" max="4653" width="3.453125" style="1" bestFit="1" customWidth="1"/>
    <col min="4654" max="4654" width="7" style="1" bestFit="1" customWidth="1"/>
    <col min="4655" max="4864" width="9.08984375" style="1"/>
    <col min="4865" max="4865" width="1.6328125" style="1" bestFit="1" customWidth="1"/>
    <col min="4866" max="4866" width="0.90625" style="1" bestFit="1" customWidth="1"/>
    <col min="4867" max="4867" width="14.54296875" style="1" bestFit="1" customWidth="1"/>
    <col min="4868" max="4868" width="8.6328125" style="1" bestFit="1" customWidth="1"/>
    <col min="4869" max="4869" width="8.984375E-2" style="1" bestFit="1" customWidth="1"/>
    <col min="4870" max="4870" width="0.90625" style="1" bestFit="1" customWidth="1"/>
    <col min="4871" max="4871" width="2" style="1" bestFit="1" customWidth="1"/>
    <col min="4872" max="4875" width="2.90625" style="1" bestFit="1" customWidth="1"/>
    <col min="4876" max="4876" width="2.54296875" style="1" bestFit="1" customWidth="1"/>
    <col min="4877" max="4877" width="0.36328125" style="1" bestFit="1" customWidth="1"/>
    <col min="4878" max="4881" width="2.90625" style="1" bestFit="1" customWidth="1"/>
    <col min="4882" max="4882" width="0.90625" style="1" bestFit="1" customWidth="1"/>
    <col min="4883" max="4883" width="2" style="1" bestFit="1" customWidth="1"/>
    <col min="4884" max="4885" width="2.90625" style="1" bestFit="1" customWidth="1"/>
    <col min="4886" max="4886" width="0.6328125" style="1" bestFit="1" customWidth="1"/>
    <col min="4887" max="4887" width="2.08984375" style="1" bestFit="1" customWidth="1"/>
    <col min="4888" max="4888" width="1.08984375" style="1" bestFit="1" customWidth="1"/>
    <col min="4889" max="4890" width="1.6328125" style="1" bestFit="1" customWidth="1"/>
    <col min="4891" max="4891" width="1.08984375" style="1" bestFit="1" customWidth="1"/>
    <col min="4892" max="4896" width="2.90625" style="1" bestFit="1" customWidth="1"/>
    <col min="4897" max="4897" width="2.6328125" style="1" bestFit="1" customWidth="1"/>
    <col min="4898" max="4898" width="8.984375E-2" style="1" bestFit="1" customWidth="1"/>
    <col min="4899" max="4900" width="2.90625" style="1" bestFit="1" customWidth="1"/>
    <col min="4901" max="4901" width="1.08984375" style="1" bestFit="1" customWidth="1"/>
    <col min="4902" max="4903" width="1.6328125" style="1" bestFit="1" customWidth="1"/>
    <col min="4904" max="4905" width="5" style="1" bestFit="1" customWidth="1"/>
    <col min="4906" max="4906" width="1.6328125" style="1" bestFit="1" customWidth="1"/>
    <col min="4907" max="4907" width="10.08984375" style="1" bestFit="1" customWidth="1"/>
    <col min="4908" max="4909" width="3.453125" style="1" bestFit="1" customWidth="1"/>
    <col min="4910" max="4910" width="7" style="1" bestFit="1" customWidth="1"/>
    <col min="4911" max="5120" width="9.08984375" style="1"/>
    <col min="5121" max="5121" width="1.6328125" style="1" bestFit="1" customWidth="1"/>
    <col min="5122" max="5122" width="0.90625" style="1" bestFit="1" customWidth="1"/>
    <col min="5123" max="5123" width="14.54296875" style="1" bestFit="1" customWidth="1"/>
    <col min="5124" max="5124" width="8.6328125" style="1" bestFit="1" customWidth="1"/>
    <col min="5125" max="5125" width="8.984375E-2" style="1" bestFit="1" customWidth="1"/>
    <col min="5126" max="5126" width="0.90625" style="1" bestFit="1" customWidth="1"/>
    <col min="5127" max="5127" width="2" style="1" bestFit="1" customWidth="1"/>
    <col min="5128" max="5131" width="2.90625" style="1" bestFit="1" customWidth="1"/>
    <col min="5132" max="5132" width="2.54296875" style="1" bestFit="1" customWidth="1"/>
    <col min="5133" max="5133" width="0.36328125" style="1" bestFit="1" customWidth="1"/>
    <col min="5134" max="5137" width="2.90625" style="1" bestFit="1" customWidth="1"/>
    <col min="5138" max="5138" width="0.90625" style="1" bestFit="1" customWidth="1"/>
    <col min="5139" max="5139" width="2" style="1" bestFit="1" customWidth="1"/>
    <col min="5140" max="5141" width="2.90625" style="1" bestFit="1" customWidth="1"/>
    <col min="5142" max="5142" width="0.6328125" style="1" bestFit="1" customWidth="1"/>
    <col min="5143" max="5143" width="2.08984375" style="1" bestFit="1" customWidth="1"/>
    <col min="5144" max="5144" width="1.08984375" style="1" bestFit="1" customWidth="1"/>
    <col min="5145" max="5146" width="1.6328125" style="1" bestFit="1" customWidth="1"/>
    <col min="5147" max="5147" width="1.08984375" style="1" bestFit="1" customWidth="1"/>
    <col min="5148" max="5152" width="2.90625" style="1" bestFit="1" customWidth="1"/>
    <col min="5153" max="5153" width="2.6328125" style="1" bestFit="1" customWidth="1"/>
    <col min="5154" max="5154" width="8.984375E-2" style="1" bestFit="1" customWidth="1"/>
    <col min="5155" max="5156" width="2.90625" style="1" bestFit="1" customWidth="1"/>
    <col min="5157" max="5157" width="1.08984375" style="1" bestFit="1" customWidth="1"/>
    <col min="5158" max="5159" width="1.6328125" style="1" bestFit="1" customWidth="1"/>
    <col min="5160" max="5161" width="5" style="1" bestFit="1" customWidth="1"/>
    <col min="5162" max="5162" width="1.6328125" style="1" bestFit="1" customWidth="1"/>
    <col min="5163" max="5163" width="10.08984375" style="1" bestFit="1" customWidth="1"/>
    <col min="5164" max="5165" width="3.453125" style="1" bestFit="1" customWidth="1"/>
    <col min="5166" max="5166" width="7" style="1" bestFit="1" customWidth="1"/>
    <col min="5167" max="5376" width="9.08984375" style="1"/>
    <col min="5377" max="5377" width="1.6328125" style="1" bestFit="1" customWidth="1"/>
    <col min="5378" max="5378" width="0.90625" style="1" bestFit="1" customWidth="1"/>
    <col min="5379" max="5379" width="14.54296875" style="1" bestFit="1" customWidth="1"/>
    <col min="5380" max="5380" width="8.6328125" style="1" bestFit="1" customWidth="1"/>
    <col min="5381" max="5381" width="8.984375E-2" style="1" bestFit="1" customWidth="1"/>
    <col min="5382" max="5382" width="0.90625" style="1" bestFit="1" customWidth="1"/>
    <col min="5383" max="5383" width="2" style="1" bestFit="1" customWidth="1"/>
    <col min="5384" max="5387" width="2.90625" style="1" bestFit="1" customWidth="1"/>
    <col min="5388" max="5388" width="2.54296875" style="1" bestFit="1" customWidth="1"/>
    <col min="5389" max="5389" width="0.36328125" style="1" bestFit="1" customWidth="1"/>
    <col min="5390" max="5393" width="2.90625" style="1" bestFit="1" customWidth="1"/>
    <col min="5394" max="5394" width="0.90625" style="1" bestFit="1" customWidth="1"/>
    <col min="5395" max="5395" width="2" style="1" bestFit="1" customWidth="1"/>
    <col min="5396" max="5397" width="2.90625" style="1" bestFit="1" customWidth="1"/>
    <col min="5398" max="5398" width="0.6328125" style="1" bestFit="1" customWidth="1"/>
    <col min="5399" max="5399" width="2.08984375" style="1" bestFit="1" customWidth="1"/>
    <col min="5400" max="5400" width="1.08984375" style="1" bestFit="1" customWidth="1"/>
    <col min="5401" max="5402" width="1.6328125" style="1" bestFit="1" customWidth="1"/>
    <col min="5403" max="5403" width="1.08984375" style="1" bestFit="1" customWidth="1"/>
    <col min="5404" max="5408" width="2.90625" style="1" bestFit="1" customWidth="1"/>
    <col min="5409" max="5409" width="2.6328125" style="1" bestFit="1" customWidth="1"/>
    <col min="5410" max="5410" width="8.984375E-2" style="1" bestFit="1" customWidth="1"/>
    <col min="5411" max="5412" width="2.90625" style="1" bestFit="1" customWidth="1"/>
    <col min="5413" max="5413" width="1.08984375" style="1" bestFit="1" customWidth="1"/>
    <col min="5414" max="5415" width="1.6328125" style="1" bestFit="1" customWidth="1"/>
    <col min="5416" max="5417" width="5" style="1" bestFit="1" customWidth="1"/>
    <col min="5418" max="5418" width="1.6328125" style="1" bestFit="1" customWidth="1"/>
    <col min="5419" max="5419" width="10.08984375" style="1" bestFit="1" customWidth="1"/>
    <col min="5420" max="5421" width="3.453125" style="1" bestFit="1" customWidth="1"/>
    <col min="5422" max="5422" width="7" style="1" bestFit="1" customWidth="1"/>
    <col min="5423" max="5632" width="9.08984375" style="1"/>
    <col min="5633" max="5633" width="1.6328125" style="1" bestFit="1" customWidth="1"/>
    <col min="5634" max="5634" width="0.90625" style="1" bestFit="1" customWidth="1"/>
    <col min="5635" max="5635" width="14.54296875" style="1" bestFit="1" customWidth="1"/>
    <col min="5636" max="5636" width="8.6328125" style="1" bestFit="1" customWidth="1"/>
    <col min="5637" max="5637" width="8.984375E-2" style="1" bestFit="1" customWidth="1"/>
    <col min="5638" max="5638" width="0.90625" style="1" bestFit="1" customWidth="1"/>
    <col min="5639" max="5639" width="2" style="1" bestFit="1" customWidth="1"/>
    <col min="5640" max="5643" width="2.90625" style="1" bestFit="1" customWidth="1"/>
    <col min="5644" max="5644" width="2.54296875" style="1" bestFit="1" customWidth="1"/>
    <col min="5645" max="5645" width="0.36328125" style="1" bestFit="1" customWidth="1"/>
    <col min="5646" max="5649" width="2.90625" style="1" bestFit="1" customWidth="1"/>
    <col min="5650" max="5650" width="0.90625" style="1" bestFit="1" customWidth="1"/>
    <col min="5651" max="5651" width="2" style="1" bestFit="1" customWidth="1"/>
    <col min="5652" max="5653" width="2.90625" style="1" bestFit="1" customWidth="1"/>
    <col min="5654" max="5654" width="0.6328125" style="1" bestFit="1" customWidth="1"/>
    <col min="5655" max="5655" width="2.08984375" style="1" bestFit="1" customWidth="1"/>
    <col min="5656" max="5656" width="1.08984375" style="1" bestFit="1" customWidth="1"/>
    <col min="5657" max="5658" width="1.6328125" style="1" bestFit="1" customWidth="1"/>
    <col min="5659" max="5659" width="1.08984375" style="1" bestFit="1" customWidth="1"/>
    <col min="5660" max="5664" width="2.90625" style="1" bestFit="1" customWidth="1"/>
    <col min="5665" max="5665" width="2.6328125" style="1" bestFit="1" customWidth="1"/>
    <col min="5666" max="5666" width="8.984375E-2" style="1" bestFit="1" customWidth="1"/>
    <col min="5667" max="5668" width="2.90625" style="1" bestFit="1" customWidth="1"/>
    <col min="5669" max="5669" width="1.08984375" style="1" bestFit="1" customWidth="1"/>
    <col min="5670" max="5671" width="1.6328125" style="1" bestFit="1" customWidth="1"/>
    <col min="5672" max="5673" width="5" style="1" bestFit="1" customWidth="1"/>
    <col min="5674" max="5674" width="1.6328125" style="1" bestFit="1" customWidth="1"/>
    <col min="5675" max="5675" width="10.08984375" style="1" bestFit="1" customWidth="1"/>
    <col min="5676" max="5677" width="3.453125" style="1" bestFit="1" customWidth="1"/>
    <col min="5678" max="5678" width="7" style="1" bestFit="1" customWidth="1"/>
    <col min="5679" max="5888" width="9.08984375" style="1"/>
    <col min="5889" max="5889" width="1.6328125" style="1" bestFit="1" customWidth="1"/>
    <col min="5890" max="5890" width="0.90625" style="1" bestFit="1" customWidth="1"/>
    <col min="5891" max="5891" width="14.54296875" style="1" bestFit="1" customWidth="1"/>
    <col min="5892" max="5892" width="8.6328125" style="1" bestFit="1" customWidth="1"/>
    <col min="5893" max="5893" width="8.984375E-2" style="1" bestFit="1" customWidth="1"/>
    <col min="5894" max="5894" width="0.90625" style="1" bestFit="1" customWidth="1"/>
    <col min="5895" max="5895" width="2" style="1" bestFit="1" customWidth="1"/>
    <col min="5896" max="5899" width="2.90625" style="1" bestFit="1" customWidth="1"/>
    <col min="5900" max="5900" width="2.54296875" style="1" bestFit="1" customWidth="1"/>
    <col min="5901" max="5901" width="0.36328125" style="1" bestFit="1" customWidth="1"/>
    <col min="5902" max="5905" width="2.90625" style="1" bestFit="1" customWidth="1"/>
    <col min="5906" max="5906" width="0.90625" style="1" bestFit="1" customWidth="1"/>
    <col min="5907" max="5907" width="2" style="1" bestFit="1" customWidth="1"/>
    <col min="5908" max="5909" width="2.90625" style="1" bestFit="1" customWidth="1"/>
    <col min="5910" max="5910" width="0.6328125" style="1" bestFit="1" customWidth="1"/>
    <col min="5911" max="5911" width="2.08984375" style="1" bestFit="1" customWidth="1"/>
    <col min="5912" max="5912" width="1.08984375" style="1" bestFit="1" customWidth="1"/>
    <col min="5913" max="5914" width="1.6328125" style="1" bestFit="1" customWidth="1"/>
    <col min="5915" max="5915" width="1.08984375" style="1" bestFit="1" customWidth="1"/>
    <col min="5916" max="5920" width="2.90625" style="1" bestFit="1" customWidth="1"/>
    <col min="5921" max="5921" width="2.6328125" style="1" bestFit="1" customWidth="1"/>
    <col min="5922" max="5922" width="8.984375E-2" style="1" bestFit="1" customWidth="1"/>
    <col min="5923" max="5924" width="2.90625" style="1" bestFit="1" customWidth="1"/>
    <col min="5925" max="5925" width="1.08984375" style="1" bestFit="1" customWidth="1"/>
    <col min="5926" max="5927" width="1.6328125" style="1" bestFit="1" customWidth="1"/>
    <col min="5928" max="5929" width="5" style="1" bestFit="1" customWidth="1"/>
    <col min="5930" max="5930" width="1.6328125" style="1" bestFit="1" customWidth="1"/>
    <col min="5931" max="5931" width="10.08984375" style="1" bestFit="1" customWidth="1"/>
    <col min="5932" max="5933" width="3.453125" style="1" bestFit="1" customWidth="1"/>
    <col min="5934" max="5934" width="7" style="1" bestFit="1" customWidth="1"/>
    <col min="5935" max="6144" width="9.08984375" style="1"/>
    <col min="6145" max="6145" width="1.6328125" style="1" bestFit="1" customWidth="1"/>
    <col min="6146" max="6146" width="0.90625" style="1" bestFit="1" customWidth="1"/>
    <col min="6147" max="6147" width="14.54296875" style="1" bestFit="1" customWidth="1"/>
    <col min="6148" max="6148" width="8.6328125" style="1" bestFit="1" customWidth="1"/>
    <col min="6149" max="6149" width="8.984375E-2" style="1" bestFit="1" customWidth="1"/>
    <col min="6150" max="6150" width="0.90625" style="1" bestFit="1" customWidth="1"/>
    <col min="6151" max="6151" width="2" style="1" bestFit="1" customWidth="1"/>
    <col min="6152" max="6155" width="2.90625" style="1" bestFit="1" customWidth="1"/>
    <col min="6156" max="6156" width="2.54296875" style="1" bestFit="1" customWidth="1"/>
    <col min="6157" max="6157" width="0.36328125" style="1" bestFit="1" customWidth="1"/>
    <col min="6158" max="6161" width="2.90625" style="1" bestFit="1" customWidth="1"/>
    <col min="6162" max="6162" width="0.90625" style="1" bestFit="1" customWidth="1"/>
    <col min="6163" max="6163" width="2" style="1" bestFit="1" customWidth="1"/>
    <col min="6164" max="6165" width="2.90625" style="1" bestFit="1" customWidth="1"/>
    <col min="6166" max="6166" width="0.6328125" style="1" bestFit="1" customWidth="1"/>
    <col min="6167" max="6167" width="2.08984375" style="1" bestFit="1" customWidth="1"/>
    <col min="6168" max="6168" width="1.08984375" style="1" bestFit="1" customWidth="1"/>
    <col min="6169" max="6170" width="1.6328125" style="1" bestFit="1" customWidth="1"/>
    <col min="6171" max="6171" width="1.08984375" style="1" bestFit="1" customWidth="1"/>
    <col min="6172" max="6176" width="2.90625" style="1" bestFit="1" customWidth="1"/>
    <col min="6177" max="6177" width="2.6328125" style="1" bestFit="1" customWidth="1"/>
    <col min="6178" max="6178" width="8.984375E-2" style="1" bestFit="1" customWidth="1"/>
    <col min="6179" max="6180" width="2.90625" style="1" bestFit="1" customWidth="1"/>
    <col min="6181" max="6181" width="1.08984375" style="1" bestFit="1" customWidth="1"/>
    <col min="6182" max="6183" width="1.6328125" style="1" bestFit="1" customWidth="1"/>
    <col min="6184" max="6185" width="5" style="1" bestFit="1" customWidth="1"/>
    <col min="6186" max="6186" width="1.6328125" style="1" bestFit="1" customWidth="1"/>
    <col min="6187" max="6187" width="10.08984375" style="1" bestFit="1" customWidth="1"/>
    <col min="6188" max="6189" width="3.453125" style="1" bestFit="1" customWidth="1"/>
    <col min="6190" max="6190" width="7" style="1" bestFit="1" customWidth="1"/>
    <col min="6191" max="6400" width="9.08984375" style="1"/>
    <col min="6401" max="6401" width="1.6328125" style="1" bestFit="1" customWidth="1"/>
    <col min="6402" max="6402" width="0.90625" style="1" bestFit="1" customWidth="1"/>
    <col min="6403" max="6403" width="14.54296875" style="1" bestFit="1" customWidth="1"/>
    <col min="6404" max="6404" width="8.6328125" style="1" bestFit="1" customWidth="1"/>
    <col min="6405" max="6405" width="8.984375E-2" style="1" bestFit="1" customWidth="1"/>
    <col min="6406" max="6406" width="0.90625" style="1" bestFit="1" customWidth="1"/>
    <col min="6407" max="6407" width="2" style="1" bestFit="1" customWidth="1"/>
    <col min="6408" max="6411" width="2.90625" style="1" bestFit="1" customWidth="1"/>
    <col min="6412" max="6412" width="2.54296875" style="1" bestFit="1" customWidth="1"/>
    <col min="6413" max="6413" width="0.36328125" style="1" bestFit="1" customWidth="1"/>
    <col min="6414" max="6417" width="2.90625" style="1" bestFit="1" customWidth="1"/>
    <col min="6418" max="6418" width="0.90625" style="1" bestFit="1" customWidth="1"/>
    <col min="6419" max="6419" width="2" style="1" bestFit="1" customWidth="1"/>
    <col min="6420" max="6421" width="2.90625" style="1" bestFit="1" customWidth="1"/>
    <col min="6422" max="6422" width="0.6328125" style="1" bestFit="1" customWidth="1"/>
    <col min="6423" max="6423" width="2.08984375" style="1" bestFit="1" customWidth="1"/>
    <col min="6424" max="6424" width="1.08984375" style="1" bestFit="1" customWidth="1"/>
    <col min="6425" max="6426" width="1.6328125" style="1" bestFit="1" customWidth="1"/>
    <col min="6427" max="6427" width="1.08984375" style="1" bestFit="1" customWidth="1"/>
    <col min="6428" max="6432" width="2.90625" style="1" bestFit="1" customWidth="1"/>
    <col min="6433" max="6433" width="2.6328125" style="1" bestFit="1" customWidth="1"/>
    <col min="6434" max="6434" width="8.984375E-2" style="1" bestFit="1" customWidth="1"/>
    <col min="6435" max="6436" width="2.90625" style="1" bestFit="1" customWidth="1"/>
    <col min="6437" max="6437" width="1.08984375" style="1" bestFit="1" customWidth="1"/>
    <col min="6438" max="6439" width="1.6328125" style="1" bestFit="1" customWidth="1"/>
    <col min="6440" max="6441" width="5" style="1" bestFit="1" customWidth="1"/>
    <col min="6442" max="6442" width="1.6328125" style="1" bestFit="1" customWidth="1"/>
    <col min="6443" max="6443" width="10.08984375" style="1" bestFit="1" customWidth="1"/>
    <col min="6444" max="6445" width="3.453125" style="1" bestFit="1" customWidth="1"/>
    <col min="6446" max="6446" width="7" style="1" bestFit="1" customWidth="1"/>
    <col min="6447" max="6656" width="9.08984375" style="1"/>
    <col min="6657" max="6657" width="1.6328125" style="1" bestFit="1" customWidth="1"/>
    <col min="6658" max="6658" width="0.90625" style="1" bestFit="1" customWidth="1"/>
    <col min="6659" max="6659" width="14.54296875" style="1" bestFit="1" customWidth="1"/>
    <col min="6660" max="6660" width="8.6328125" style="1" bestFit="1" customWidth="1"/>
    <col min="6661" max="6661" width="8.984375E-2" style="1" bestFit="1" customWidth="1"/>
    <col min="6662" max="6662" width="0.90625" style="1" bestFit="1" customWidth="1"/>
    <col min="6663" max="6663" width="2" style="1" bestFit="1" customWidth="1"/>
    <col min="6664" max="6667" width="2.90625" style="1" bestFit="1" customWidth="1"/>
    <col min="6668" max="6668" width="2.54296875" style="1" bestFit="1" customWidth="1"/>
    <col min="6669" max="6669" width="0.36328125" style="1" bestFit="1" customWidth="1"/>
    <col min="6670" max="6673" width="2.90625" style="1" bestFit="1" customWidth="1"/>
    <col min="6674" max="6674" width="0.90625" style="1" bestFit="1" customWidth="1"/>
    <col min="6675" max="6675" width="2" style="1" bestFit="1" customWidth="1"/>
    <col min="6676" max="6677" width="2.90625" style="1" bestFit="1" customWidth="1"/>
    <col min="6678" max="6678" width="0.6328125" style="1" bestFit="1" customWidth="1"/>
    <col min="6679" max="6679" width="2.08984375" style="1" bestFit="1" customWidth="1"/>
    <col min="6680" max="6680" width="1.08984375" style="1" bestFit="1" customWidth="1"/>
    <col min="6681" max="6682" width="1.6328125" style="1" bestFit="1" customWidth="1"/>
    <col min="6683" max="6683" width="1.08984375" style="1" bestFit="1" customWidth="1"/>
    <col min="6684" max="6688" width="2.90625" style="1" bestFit="1" customWidth="1"/>
    <col min="6689" max="6689" width="2.6328125" style="1" bestFit="1" customWidth="1"/>
    <col min="6690" max="6690" width="8.984375E-2" style="1" bestFit="1" customWidth="1"/>
    <col min="6691" max="6692" width="2.90625" style="1" bestFit="1" customWidth="1"/>
    <col min="6693" max="6693" width="1.08984375" style="1" bestFit="1" customWidth="1"/>
    <col min="6694" max="6695" width="1.6328125" style="1" bestFit="1" customWidth="1"/>
    <col min="6696" max="6697" width="5" style="1" bestFit="1" customWidth="1"/>
    <col min="6698" max="6698" width="1.6328125" style="1" bestFit="1" customWidth="1"/>
    <col min="6699" max="6699" width="10.08984375" style="1" bestFit="1" customWidth="1"/>
    <col min="6700" max="6701" width="3.453125" style="1" bestFit="1" customWidth="1"/>
    <col min="6702" max="6702" width="7" style="1" bestFit="1" customWidth="1"/>
    <col min="6703" max="6912" width="9.08984375" style="1"/>
    <col min="6913" max="6913" width="1.6328125" style="1" bestFit="1" customWidth="1"/>
    <col min="6914" max="6914" width="0.90625" style="1" bestFit="1" customWidth="1"/>
    <col min="6915" max="6915" width="14.54296875" style="1" bestFit="1" customWidth="1"/>
    <col min="6916" max="6916" width="8.6328125" style="1" bestFit="1" customWidth="1"/>
    <col min="6917" max="6917" width="8.984375E-2" style="1" bestFit="1" customWidth="1"/>
    <col min="6918" max="6918" width="0.90625" style="1" bestFit="1" customWidth="1"/>
    <col min="6919" max="6919" width="2" style="1" bestFit="1" customWidth="1"/>
    <col min="6920" max="6923" width="2.90625" style="1" bestFit="1" customWidth="1"/>
    <col min="6924" max="6924" width="2.54296875" style="1" bestFit="1" customWidth="1"/>
    <col min="6925" max="6925" width="0.36328125" style="1" bestFit="1" customWidth="1"/>
    <col min="6926" max="6929" width="2.90625" style="1" bestFit="1" customWidth="1"/>
    <col min="6930" max="6930" width="0.90625" style="1" bestFit="1" customWidth="1"/>
    <col min="6931" max="6931" width="2" style="1" bestFit="1" customWidth="1"/>
    <col min="6932" max="6933" width="2.90625" style="1" bestFit="1" customWidth="1"/>
    <col min="6934" max="6934" width="0.6328125" style="1" bestFit="1" customWidth="1"/>
    <col min="6935" max="6935" width="2.08984375" style="1" bestFit="1" customWidth="1"/>
    <col min="6936" max="6936" width="1.08984375" style="1" bestFit="1" customWidth="1"/>
    <col min="6937" max="6938" width="1.6328125" style="1" bestFit="1" customWidth="1"/>
    <col min="6939" max="6939" width="1.08984375" style="1" bestFit="1" customWidth="1"/>
    <col min="6940" max="6944" width="2.90625" style="1" bestFit="1" customWidth="1"/>
    <col min="6945" max="6945" width="2.6328125" style="1" bestFit="1" customWidth="1"/>
    <col min="6946" max="6946" width="8.984375E-2" style="1" bestFit="1" customWidth="1"/>
    <col min="6947" max="6948" width="2.90625" style="1" bestFit="1" customWidth="1"/>
    <col min="6949" max="6949" width="1.08984375" style="1" bestFit="1" customWidth="1"/>
    <col min="6950" max="6951" width="1.6328125" style="1" bestFit="1" customWidth="1"/>
    <col min="6952" max="6953" width="5" style="1" bestFit="1" customWidth="1"/>
    <col min="6954" max="6954" width="1.6328125" style="1" bestFit="1" customWidth="1"/>
    <col min="6955" max="6955" width="10.08984375" style="1" bestFit="1" customWidth="1"/>
    <col min="6956" max="6957" width="3.453125" style="1" bestFit="1" customWidth="1"/>
    <col min="6958" max="6958" width="7" style="1" bestFit="1" customWidth="1"/>
    <col min="6959" max="7168" width="9.08984375" style="1"/>
    <col min="7169" max="7169" width="1.6328125" style="1" bestFit="1" customWidth="1"/>
    <col min="7170" max="7170" width="0.90625" style="1" bestFit="1" customWidth="1"/>
    <col min="7171" max="7171" width="14.54296875" style="1" bestFit="1" customWidth="1"/>
    <col min="7172" max="7172" width="8.6328125" style="1" bestFit="1" customWidth="1"/>
    <col min="7173" max="7173" width="8.984375E-2" style="1" bestFit="1" customWidth="1"/>
    <col min="7174" max="7174" width="0.90625" style="1" bestFit="1" customWidth="1"/>
    <col min="7175" max="7175" width="2" style="1" bestFit="1" customWidth="1"/>
    <col min="7176" max="7179" width="2.90625" style="1" bestFit="1" customWidth="1"/>
    <col min="7180" max="7180" width="2.54296875" style="1" bestFit="1" customWidth="1"/>
    <col min="7181" max="7181" width="0.36328125" style="1" bestFit="1" customWidth="1"/>
    <col min="7182" max="7185" width="2.90625" style="1" bestFit="1" customWidth="1"/>
    <col min="7186" max="7186" width="0.90625" style="1" bestFit="1" customWidth="1"/>
    <col min="7187" max="7187" width="2" style="1" bestFit="1" customWidth="1"/>
    <col min="7188" max="7189" width="2.90625" style="1" bestFit="1" customWidth="1"/>
    <col min="7190" max="7190" width="0.6328125" style="1" bestFit="1" customWidth="1"/>
    <col min="7191" max="7191" width="2.08984375" style="1" bestFit="1" customWidth="1"/>
    <col min="7192" max="7192" width="1.08984375" style="1" bestFit="1" customWidth="1"/>
    <col min="7193" max="7194" width="1.6328125" style="1" bestFit="1" customWidth="1"/>
    <col min="7195" max="7195" width="1.08984375" style="1" bestFit="1" customWidth="1"/>
    <col min="7196" max="7200" width="2.90625" style="1" bestFit="1" customWidth="1"/>
    <col min="7201" max="7201" width="2.6328125" style="1" bestFit="1" customWidth="1"/>
    <col min="7202" max="7202" width="8.984375E-2" style="1" bestFit="1" customWidth="1"/>
    <col min="7203" max="7204" width="2.90625" style="1" bestFit="1" customWidth="1"/>
    <col min="7205" max="7205" width="1.08984375" style="1" bestFit="1" customWidth="1"/>
    <col min="7206" max="7207" width="1.6328125" style="1" bestFit="1" customWidth="1"/>
    <col min="7208" max="7209" width="5" style="1" bestFit="1" customWidth="1"/>
    <col min="7210" max="7210" width="1.6328125" style="1" bestFit="1" customWidth="1"/>
    <col min="7211" max="7211" width="10.08984375" style="1" bestFit="1" customWidth="1"/>
    <col min="7212" max="7213" width="3.453125" style="1" bestFit="1" customWidth="1"/>
    <col min="7214" max="7214" width="7" style="1" bestFit="1" customWidth="1"/>
    <col min="7215" max="7424" width="9.08984375" style="1"/>
    <col min="7425" max="7425" width="1.6328125" style="1" bestFit="1" customWidth="1"/>
    <col min="7426" max="7426" width="0.90625" style="1" bestFit="1" customWidth="1"/>
    <col min="7427" max="7427" width="14.54296875" style="1" bestFit="1" customWidth="1"/>
    <col min="7428" max="7428" width="8.6328125" style="1" bestFit="1" customWidth="1"/>
    <col min="7429" max="7429" width="8.984375E-2" style="1" bestFit="1" customWidth="1"/>
    <col min="7430" max="7430" width="0.90625" style="1" bestFit="1" customWidth="1"/>
    <col min="7431" max="7431" width="2" style="1" bestFit="1" customWidth="1"/>
    <col min="7432" max="7435" width="2.90625" style="1" bestFit="1" customWidth="1"/>
    <col min="7436" max="7436" width="2.54296875" style="1" bestFit="1" customWidth="1"/>
    <col min="7437" max="7437" width="0.36328125" style="1" bestFit="1" customWidth="1"/>
    <col min="7438" max="7441" width="2.90625" style="1" bestFit="1" customWidth="1"/>
    <col min="7442" max="7442" width="0.90625" style="1" bestFit="1" customWidth="1"/>
    <col min="7443" max="7443" width="2" style="1" bestFit="1" customWidth="1"/>
    <col min="7444" max="7445" width="2.90625" style="1" bestFit="1" customWidth="1"/>
    <col min="7446" max="7446" width="0.6328125" style="1" bestFit="1" customWidth="1"/>
    <col min="7447" max="7447" width="2.08984375" style="1" bestFit="1" customWidth="1"/>
    <col min="7448" max="7448" width="1.08984375" style="1" bestFit="1" customWidth="1"/>
    <col min="7449" max="7450" width="1.6328125" style="1" bestFit="1" customWidth="1"/>
    <col min="7451" max="7451" width="1.08984375" style="1" bestFit="1" customWidth="1"/>
    <col min="7452" max="7456" width="2.90625" style="1" bestFit="1" customWidth="1"/>
    <col min="7457" max="7457" width="2.6328125" style="1" bestFit="1" customWidth="1"/>
    <col min="7458" max="7458" width="8.984375E-2" style="1" bestFit="1" customWidth="1"/>
    <col min="7459" max="7460" width="2.90625" style="1" bestFit="1" customWidth="1"/>
    <col min="7461" max="7461" width="1.08984375" style="1" bestFit="1" customWidth="1"/>
    <col min="7462" max="7463" width="1.6328125" style="1" bestFit="1" customWidth="1"/>
    <col min="7464" max="7465" width="5" style="1" bestFit="1" customWidth="1"/>
    <col min="7466" max="7466" width="1.6328125" style="1" bestFit="1" customWidth="1"/>
    <col min="7467" max="7467" width="10.08984375" style="1" bestFit="1" customWidth="1"/>
    <col min="7468" max="7469" width="3.453125" style="1" bestFit="1" customWidth="1"/>
    <col min="7470" max="7470" width="7" style="1" bestFit="1" customWidth="1"/>
    <col min="7471" max="7680" width="9.08984375" style="1"/>
    <col min="7681" max="7681" width="1.6328125" style="1" bestFit="1" customWidth="1"/>
    <col min="7682" max="7682" width="0.90625" style="1" bestFit="1" customWidth="1"/>
    <col min="7683" max="7683" width="14.54296875" style="1" bestFit="1" customWidth="1"/>
    <col min="7684" max="7684" width="8.6328125" style="1" bestFit="1" customWidth="1"/>
    <col min="7685" max="7685" width="8.984375E-2" style="1" bestFit="1" customWidth="1"/>
    <col min="7686" max="7686" width="0.90625" style="1" bestFit="1" customWidth="1"/>
    <col min="7687" max="7687" width="2" style="1" bestFit="1" customWidth="1"/>
    <col min="7688" max="7691" width="2.90625" style="1" bestFit="1" customWidth="1"/>
    <col min="7692" max="7692" width="2.54296875" style="1" bestFit="1" customWidth="1"/>
    <col min="7693" max="7693" width="0.36328125" style="1" bestFit="1" customWidth="1"/>
    <col min="7694" max="7697" width="2.90625" style="1" bestFit="1" customWidth="1"/>
    <col min="7698" max="7698" width="0.90625" style="1" bestFit="1" customWidth="1"/>
    <col min="7699" max="7699" width="2" style="1" bestFit="1" customWidth="1"/>
    <col min="7700" max="7701" width="2.90625" style="1" bestFit="1" customWidth="1"/>
    <col min="7702" max="7702" width="0.6328125" style="1" bestFit="1" customWidth="1"/>
    <col min="7703" max="7703" width="2.08984375" style="1" bestFit="1" customWidth="1"/>
    <col min="7704" max="7704" width="1.08984375" style="1" bestFit="1" customWidth="1"/>
    <col min="7705" max="7706" width="1.6328125" style="1" bestFit="1" customWidth="1"/>
    <col min="7707" max="7707" width="1.08984375" style="1" bestFit="1" customWidth="1"/>
    <col min="7708" max="7712" width="2.90625" style="1" bestFit="1" customWidth="1"/>
    <col min="7713" max="7713" width="2.6328125" style="1" bestFit="1" customWidth="1"/>
    <col min="7714" max="7714" width="8.984375E-2" style="1" bestFit="1" customWidth="1"/>
    <col min="7715" max="7716" width="2.90625" style="1" bestFit="1" customWidth="1"/>
    <col min="7717" max="7717" width="1.08984375" style="1" bestFit="1" customWidth="1"/>
    <col min="7718" max="7719" width="1.6328125" style="1" bestFit="1" customWidth="1"/>
    <col min="7720" max="7721" width="5" style="1" bestFit="1" customWidth="1"/>
    <col min="7722" max="7722" width="1.6328125" style="1" bestFit="1" customWidth="1"/>
    <col min="7723" max="7723" width="10.08984375" style="1" bestFit="1" customWidth="1"/>
    <col min="7724" max="7725" width="3.453125" style="1" bestFit="1" customWidth="1"/>
    <col min="7726" max="7726" width="7" style="1" bestFit="1" customWidth="1"/>
    <col min="7727" max="7936" width="9.08984375" style="1"/>
    <col min="7937" max="7937" width="1.6328125" style="1" bestFit="1" customWidth="1"/>
    <col min="7938" max="7938" width="0.90625" style="1" bestFit="1" customWidth="1"/>
    <col min="7939" max="7939" width="14.54296875" style="1" bestFit="1" customWidth="1"/>
    <col min="7940" max="7940" width="8.6328125" style="1" bestFit="1" customWidth="1"/>
    <col min="7941" max="7941" width="8.984375E-2" style="1" bestFit="1" customWidth="1"/>
    <col min="7942" max="7942" width="0.90625" style="1" bestFit="1" customWidth="1"/>
    <col min="7943" max="7943" width="2" style="1" bestFit="1" customWidth="1"/>
    <col min="7944" max="7947" width="2.90625" style="1" bestFit="1" customWidth="1"/>
    <col min="7948" max="7948" width="2.54296875" style="1" bestFit="1" customWidth="1"/>
    <col min="7949" max="7949" width="0.36328125" style="1" bestFit="1" customWidth="1"/>
    <col min="7950" max="7953" width="2.90625" style="1" bestFit="1" customWidth="1"/>
    <col min="7954" max="7954" width="0.90625" style="1" bestFit="1" customWidth="1"/>
    <col min="7955" max="7955" width="2" style="1" bestFit="1" customWidth="1"/>
    <col min="7956" max="7957" width="2.90625" style="1" bestFit="1" customWidth="1"/>
    <col min="7958" max="7958" width="0.6328125" style="1" bestFit="1" customWidth="1"/>
    <col min="7959" max="7959" width="2.08984375" style="1" bestFit="1" customWidth="1"/>
    <col min="7960" max="7960" width="1.08984375" style="1" bestFit="1" customWidth="1"/>
    <col min="7961" max="7962" width="1.6328125" style="1" bestFit="1" customWidth="1"/>
    <col min="7963" max="7963" width="1.08984375" style="1" bestFit="1" customWidth="1"/>
    <col min="7964" max="7968" width="2.90625" style="1" bestFit="1" customWidth="1"/>
    <col min="7969" max="7969" width="2.6328125" style="1" bestFit="1" customWidth="1"/>
    <col min="7970" max="7970" width="8.984375E-2" style="1" bestFit="1" customWidth="1"/>
    <col min="7971" max="7972" width="2.90625" style="1" bestFit="1" customWidth="1"/>
    <col min="7973" max="7973" width="1.08984375" style="1" bestFit="1" customWidth="1"/>
    <col min="7974" max="7975" width="1.6328125" style="1" bestFit="1" customWidth="1"/>
    <col min="7976" max="7977" width="5" style="1" bestFit="1" customWidth="1"/>
    <col min="7978" max="7978" width="1.6328125" style="1" bestFit="1" customWidth="1"/>
    <col min="7979" max="7979" width="10.08984375" style="1" bestFit="1" customWidth="1"/>
    <col min="7980" max="7981" width="3.453125" style="1" bestFit="1" customWidth="1"/>
    <col min="7982" max="7982" width="7" style="1" bestFit="1" customWidth="1"/>
    <col min="7983" max="8192" width="9.08984375" style="1"/>
    <col min="8193" max="8193" width="1.6328125" style="1" bestFit="1" customWidth="1"/>
    <col min="8194" max="8194" width="0.90625" style="1" bestFit="1" customWidth="1"/>
    <col min="8195" max="8195" width="14.54296875" style="1" bestFit="1" customWidth="1"/>
    <col min="8196" max="8196" width="8.6328125" style="1" bestFit="1" customWidth="1"/>
    <col min="8197" max="8197" width="8.984375E-2" style="1" bestFit="1" customWidth="1"/>
    <col min="8198" max="8198" width="0.90625" style="1" bestFit="1" customWidth="1"/>
    <col min="8199" max="8199" width="2" style="1" bestFit="1" customWidth="1"/>
    <col min="8200" max="8203" width="2.90625" style="1" bestFit="1" customWidth="1"/>
    <col min="8204" max="8204" width="2.54296875" style="1" bestFit="1" customWidth="1"/>
    <col min="8205" max="8205" width="0.36328125" style="1" bestFit="1" customWidth="1"/>
    <col min="8206" max="8209" width="2.90625" style="1" bestFit="1" customWidth="1"/>
    <col min="8210" max="8210" width="0.90625" style="1" bestFit="1" customWidth="1"/>
    <col min="8211" max="8211" width="2" style="1" bestFit="1" customWidth="1"/>
    <col min="8212" max="8213" width="2.90625" style="1" bestFit="1" customWidth="1"/>
    <col min="8214" max="8214" width="0.6328125" style="1" bestFit="1" customWidth="1"/>
    <col min="8215" max="8215" width="2.08984375" style="1" bestFit="1" customWidth="1"/>
    <col min="8216" max="8216" width="1.08984375" style="1" bestFit="1" customWidth="1"/>
    <col min="8217" max="8218" width="1.6328125" style="1" bestFit="1" customWidth="1"/>
    <col min="8219" max="8219" width="1.08984375" style="1" bestFit="1" customWidth="1"/>
    <col min="8220" max="8224" width="2.90625" style="1" bestFit="1" customWidth="1"/>
    <col min="8225" max="8225" width="2.6328125" style="1" bestFit="1" customWidth="1"/>
    <col min="8226" max="8226" width="8.984375E-2" style="1" bestFit="1" customWidth="1"/>
    <col min="8227" max="8228" width="2.90625" style="1" bestFit="1" customWidth="1"/>
    <col min="8229" max="8229" width="1.08984375" style="1" bestFit="1" customWidth="1"/>
    <col min="8230" max="8231" width="1.6328125" style="1" bestFit="1" customWidth="1"/>
    <col min="8232" max="8233" width="5" style="1" bestFit="1" customWidth="1"/>
    <col min="8234" max="8234" width="1.6328125" style="1" bestFit="1" customWidth="1"/>
    <col min="8235" max="8235" width="10.08984375" style="1" bestFit="1" customWidth="1"/>
    <col min="8236" max="8237" width="3.453125" style="1" bestFit="1" customWidth="1"/>
    <col min="8238" max="8238" width="7" style="1" bestFit="1" customWidth="1"/>
    <col min="8239" max="8448" width="9.08984375" style="1"/>
    <col min="8449" max="8449" width="1.6328125" style="1" bestFit="1" customWidth="1"/>
    <col min="8450" max="8450" width="0.90625" style="1" bestFit="1" customWidth="1"/>
    <col min="8451" max="8451" width="14.54296875" style="1" bestFit="1" customWidth="1"/>
    <col min="8452" max="8452" width="8.6328125" style="1" bestFit="1" customWidth="1"/>
    <col min="8453" max="8453" width="8.984375E-2" style="1" bestFit="1" customWidth="1"/>
    <col min="8454" max="8454" width="0.90625" style="1" bestFit="1" customWidth="1"/>
    <col min="8455" max="8455" width="2" style="1" bestFit="1" customWidth="1"/>
    <col min="8456" max="8459" width="2.90625" style="1" bestFit="1" customWidth="1"/>
    <col min="8460" max="8460" width="2.54296875" style="1" bestFit="1" customWidth="1"/>
    <col min="8461" max="8461" width="0.36328125" style="1" bestFit="1" customWidth="1"/>
    <col min="8462" max="8465" width="2.90625" style="1" bestFit="1" customWidth="1"/>
    <col min="8466" max="8466" width="0.90625" style="1" bestFit="1" customWidth="1"/>
    <col min="8467" max="8467" width="2" style="1" bestFit="1" customWidth="1"/>
    <col min="8468" max="8469" width="2.90625" style="1" bestFit="1" customWidth="1"/>
    <col min="8470" max="8470" width="0.6328125" style="1" bestFit="1" customWidth="1"/>
    <col min="8471" max="8471" width="2.08984375" style="1" bestFit="1" customWidth="1"/>
    <col min="8472" max="8472" width="1.08984375" style="1" bestFit="1" customWidth="1"/>
    <col min="8473" max="8474" width="1.6328125" style="1" bestFit="1" customWidth="1"/>
    <col min="8475" max="8475" width="1.08984375" style="1" bestFit="1" customWidth="1"/>
    <col min="8476" max="8480" width="2.90625" style="1" bestFit="1" customWidth="1"/>
    <col min="8481" max="8481" width="2.6328125" style="1" bestFit="1" customWidth="1"/>
    <col min="8482" max="8482" width="8.984375E-2" style="1" bestFit="1" customWidth="1"/>
    <col min="8483" max="8484" width="2.90625" style="1" bestFit="1" customWidth="1"/>
    <col min="8485" max="8485" width="1.08984375" style="1" bestFit="1" customWidth="1"/>
    <col min="8486" max="8487" width="1.6328125" style="1" bestFit="1" customWidth="1"/>
    <col min="8488" max="8489" width="5" style="1" bestFit="1" customWidth="1"/>
    <col min="8490" max="8490" width="1.6328125" style="1" bestFit="1" customWidth="1"/>
    <col min="8491" max="8491" width="10.08984375" style="1" bestFit="1" customWidth="1"/>
    <col min="8492" max="8493" width="3.453125" style="1" bestFit="1" customWidth="1"/>
    <col min="8494" max="8494" width="7" style="1" bestFit="1" customWidth="1"/>
    <col min="8495" max="8704" width="9.08984375" style="1"/>
    <col min="8705" max="8705" width="1.6328125" style="1" bestFit="1" customWidth="1"/>
    <col min="8706" max="8706" width="0.90625" style="1" bestFit="1" customWidth="1"/>
    <col min="8707" max="8707" width="14.54296875" style="1" bestFit="1" customWidth="1"/>
    <col min="8708" max="8708" width="8.6328125" style="1" bestFit="1" customWidth="1"/>
    <col min="8709" max="8709" width="8.984375E-2" style="1" bestFit="1" customWidth="1"/>
    <col min="8710" max="8710" width="0.90625" style="1" bestFit="1" customWidth="1"/>
    <col min="8711" max="8711" width="2" style="1" bestFit="1" customWidth="1"/>
    <col min="8712" max="8715" width="2.90625" style="1" bestFit="1" customWidth="1"/>
    <col min="8716" max="8716" width="2.54296875" style="1" bestFit="1" customWidth="1"/>
    <col min="8717" max="8717" width="0.36328125" style="1" bestFit="1" customWidth="1"/>
    <col min="8718" max="8721" width="2.90625" style="1" bestFit="1" customWidth="1"/>
    <col min="8722" max="8722" width="0.90625" style="1" bestFit="1" customWidth="1"/>
    <col min="8723" max="8723" width="2" style="1" bestFit="1" customWidth="1"/>
    <col min="8724" max="8725" width="2.90625" style="1" bestFit="1" customWidth="1"/>
    <col min="8726" max="8726" width="0.6328125" style="1" bestFit="1" customWidth="1"/>
    <col min="8727" max="8727" width="2.08984375" style="1" bestFit="1" customWidth="1"/>
    <col min="8728" max="8728" width="1.08984375" style="1" bestFit="1" customWidth="1"/>
    <col min="8729" max="8730" width="1.6328125" style="1" bestFit="1" customWidth="1"/>
    <col min="8731" max="8731" width="1.08984375" style="1" bestFit="1" customWidth="1"/>
    <col min="8732" max="8736" width="2.90625" style="1" bestFit="1" customWidth="1"/>
    <col min="8737" max="8737" width="2.6328125" style="1" bestFit="1" customWidth="1"/>
    <col min="8738" max="8738" width="8.984375E-2" style="1" bestFit="1" customWidth="1"/>
    <col min="8739" max="8740" width="2.90625" style="1" bestFit="1" customWidth="1"/>
    <col min="8741" max="8741" width="1.08984375" style="1" bestFit="1" customWidth="1"/>
    <col min="8742" max="8743" width="1.6328125" style="1" bestFit="1" customWidth="1"/>
    <col min="8744" max="8745" width="5" style="1" bestFit="1" customWidth="1"/>
    <col min="8746" max="8746" width="1.6328125" style="1" bestFit="1" customWidth="1"/>
    <col min="8747" max="8747" width="10.08984375" style="1" bestFit="1" customWidth="1"/>
    <col min="8748" max="8749" width="3.453125" style="1" bestFit="1" customWidth="1"/>
    <col min="8750" max="8750" width="7" style="1" bestFit="1" customWidth="1"/>
    <col min="8751" max="8960" width="9.08984375" style="1"/>
    <col min="8961" max="8961" width="1.6328125" style="1" bestFit="1" customWidth="1"/>
    <col min="8962" max="8962" width="0.90625" style="1" bestFit="1" customWidth="1"/>
    <col min="8963" max="8963" width="14.54296875" style="1" bestFit="1" customWidth="1"/>
    <col min="8964" max="8964" width="8.6328125" style="1" bestFit="1" customWidth="1"/>
    <col min="8965" max="8965" width="8.984375E-2" style="1" bestFit="1" customWidth="1"/>
    <col min="8966" max="8966" width="0.90625" style="1" bestFit="1" customWidth="1"/>
    <col min="8967" max="8967" width="2" style="1" bestFit="1" customWidth="1"/>
    <col min="8968" max="8971" width="2.90625" style="1" bestFit="1" customWidth="1"/>
    <col min="8972" max="8972" width="2.54296875" style="1" bestFit="1" customWidth="1"/>
    <col min="8973" max="8973" width="0.36328125" style="1" bestFit="1" customWidth="1"/>
    <col min="8974" max="8977" width="2.90625" style="1" bestFit="1" customWidth="1"/>
    <col min="8978" max="8978" width="0.90625" style="1" bestFit="1" customWidth="1"/>
    <col min="8979" max="8979" width="2" style="1" bestFit="1" customWidth="1"/>
    <col min="8980" max="8981" width="2.90625" style="1" bestFit="1" customWidth="1"/>
    <col min="8982" max="8982" width="0.6328125" style="1" bestFit="1" customWidth="1"/>
    <col min="8983" max="8983" width="2.08984375" style="1" bestFit="1" customWidth="1"/>
    <col min="8984" max="8984" width="1.08984375" style="1" bestFit="1" customWidth="1"/>
    <col min="8985" max="8986" width="1.6328125" style="1" bestFit="1" customWidth="1"/>
    <col min="8987" max="8987" width="1.08984375" style="1" bestFit="1" customWidth="1"/>
    <col min="8988" max="8992" width="2.90625" style="1" bestFit="1" customWidth="1"/>
    <col min="8993" max="8993" width="2.6328125" style="1" bestFit="1" customWidth="1"/>
    <col min="8994" max="8994" width="8.984375E-2" style="1" bestFit="1" customWidth="1"/>
    <col min="8995" max="8996" width="2.90625" style="1" bestFit="1" customWidth="1"/>
    <col min="8997" max="8997" width="1.08984375" style="1" bestFit="1" customWidth="1"/>
    <col min="8998" max="8999" width="1.6328125" style="1" bestFit="1" customWidth="1"/>
    <col min="9000" max="9001" width="5" style="1" bestFit="1" customWidth="1"/>
    <col min="9002" max="9002" width="1.6328125" style="1" bestFit="1" customWidth="1"/>
    <col min="9003" max="9003" width="10.08984375" style="1" bestFit="1" customWidth="1"/>
    <col min="9004" max="9005" width="3.453125" style="1" bestFit="1" customWidth="1"/>
    <col min="9006" max="9006" width="7" style="1" bestFit="1" customWidth="1"/>
    <col min="9007" max="9216" width="9.08984375" style="1"/>
    <col min="9217" max="9217" width="1.6328125" style="1" bestFit="1" customWidth="1"/>
    <col min="9218" max="9218" width="0.90625" style="1" bestFit="1" customWidth="1"/>
    <col min="9219" max="9219" width="14.54296875" style="1" bestFit="1" customWidth="1"/>
    <col min="9220" max="9220" width="8.6328125" style="1" bestFit="1" customWidth="1"/>
    <col min="9221" max="9221" width="8.984375E-2" style="1" bestFit="1" customWidth="1"/>
    <col min="9222" max="9222" width="0.90625" style="1" bestFit="1" customWidth="1"/>
    <col min="9223" max="9223" width="2" style="1" bestFit="1" customWidth="1"/>
    <col min="9224" max="9227" width="2.90625" style="1" bestFit="1" customWidth="1"/>
    <col min="9228" max="9228" width="2.54296875" style="1" bestFit="1" customWidth="1"/>
    <col min="9229" max="9229" width="0.36328125" style="1" bestFit="1" customWidth="1"/>
    <col min="9230" max="9233" width="2.90625" style="1" bestFit="1" customWidth="1"/>
    <col min="9234" max="9234" width="0.90625" style="1" bestFit="1" customWidth="1"/>
    <col min="9235" max="9235" width="2" style="1" bestFit="1" customWidth="1"/>
    <col min="9236" max="9237" width="2.90625" style="1" bestFit="1" customWidth="1"/>
    <col min="9238" max="9238" width="0.6328125" style="1" bestFit="1" customWidth="1"/>
    <col min="9239" max="9239" width="2.08984375" style="1" bestFit="1" customWidth="1"/>
    <col min="9240" max="9240" width="1.08984375" style="1" bestFit="1" customWidth="1"/>
    <col min="9241" max="9242" width="1.6328125" style="1" bestFit="1" customWidth="1"/>
    <col min="9243" max="9243" width="1.08984375" style="1" bestFit="1" customWidth="1"/>
    <col min="9244" max="9248" width="2.90625" style="1" bestFit="1" customWidth="1"/>
    <col min="9249" max="9249" width="2.6328125" style="1" bestFit="1" customWidth="1"/>
    <col min="9250" max="9250" width="8.984375E-2" style="1" bestFit="1" customWidth="1"/>
    <col min="9251" max="9252" width="2.90625" style="1" bestFit="1" customWidth="1"/>
    <col min="9253" max="9253" width="1.08984375" style="1" bestFit="1" customWidth="1"/>
    <col min="9254" max="9255" width="1.6328125" style="1" bestFit="1" customWidth="1"/>
    <col min="9256" max="9257" width="5" style="1" bestFit="1" customWidth="1"/>
    <col min="9258" max="9258" width="1.6328125" style="1" bestFit="1" customWidth="1"/>
    <col min="9259" max="9259" width="10.08984375" style="1" bestFit="1" customWidth="1"/>
    <col min="9260" max="9261" width="3.453125" style="1" bestFit="1" customWidth="1"/>
    <col min="9262" max="9262" width="7" style="1" bestFit="1" customWidth="1"/>
    <col min="9263" max="9472" width="9.08984375" style="1"/>
    <col min="9473" max="9473" width="1.6328125" style="1" bestFit="1" customWidth="1"/>
    <col min="9474" max="9474" width="0.90625" style="1" bestFit="1" customWidth="1"/>
    <col min="9475" max="9475" width="14.54296875" style="1" bestFit="1" customWidth="1"/>
    <col min="9476" max="9476" width="8.6328125" style="1" bestFit="1" customWidth="1"/>
    <col min="9477" max="9477" width="8.984375E-2" style="1" bestFit="1" customWidth="1"/>
    <col min="9478" max="9478" width="0.90625" style="1" bestFit="1" customWidth="1"/>
    <col min="9479" max="9479" width="2" style="1" bestFit="1" customWidth="1"/>
    <col min="9480" max="9483" width="2.90625" style="1" bestFit="1" customWidth="1"/>
    <col min="9484" max="9484" width="2.54296875" style="1" bestFit="1" customWidth="1"/>
    <col min="9485" max="9485" width="0.36328125" style="1" bestFit="1" customWidth="1"/>
    <col min="9486" max="9489" width="2.90625" style="1" bestFit="1" customWidth="1"/>
    <col min="9490" max="9490" width="0.90625" style="1" bestFit="1" customWidth="1"/>
    <col min="9491" max="9491" width="2" style="1" bestFit="1" customWidth="1"/>
    <col min="9492" max="9493" width="2.90625" style="1" bestFit="1" customWidth="1"/>
    <col min="9494" max="9494" width="0.6328125" style="1" bestFit="1" customWidth="1"/>
    <col min="9495" max="9495" width="2.08984375" style="1" bestFit="1" customWidth="1"/>
    <col min="9496" max="9496" width="1.08984375" style="1" bestFit="1" customWidth="1"/>
    <col min="9497" max="9498" width="1.6328125" style="1" bestFit="1" customWidth="1"/>
    <col min="9499" max="9499" width="1.08984375" style="1" bestFit="1" customWidth="1"/>
    <col min="9500" max="9504" width="2.90625" style="1" bestFit="1" customWidth="1"/>
    <col min="9505" max="9505" width="2.6328125" style="1" bestFit="1" customWidth="1"/>
    <col min="9506" max="9506" width="8.984375E-2" style="1" bestFit="1" customWidth="1"/>
    <col min="9507" max="9508" width="2.90625" style="1" bestFit="1" customWidth="1"/>
    <col min="9509" max="9509" width="1.08984375" style="1" bestFit="1" customWidth="1"/>
    <col min="9510" max="9511" width="1.6328125" style="1" bestFit="1" customWidth="1"/>
    <col min="9512" max="9513" width="5" style="1" bestFit="1" customWidth="1"/>
    <col min="9514" max="9514" width="1.6328125" style="1" bestFit="1" customWidth="1"/>
    <col min="9515" max="9515" width="10.08984375" style="1" bestFit="1" customWidth="1"/>
    <col min="9516" max="9517" width="3.453125" style="1" bestFit="1" customWidth="1"/>
    <col min="9518" max="9518" width="7" style="1" bestFit="1" customWidth="1"/>
    <col min="9519" max="9728" width="9.08984375" style="1"/>
    <col min="9729" max="9729" width="1.6328125" style="1" bestFit="1" customWidth="1"/>
    <col min="9730" max="9730" width="0.90625" style="1" bestFit="1" customWidth="1"/>
    <col min="9731" max="9731" width="14.54296875" style="1" bestFit="1" customWidth="1"/>
    <col min="9732" max="9732" width="8.6328125" style="1" bestFit="1" customWidth="1"/>
    <col min="9733" max="9733" width="8.984375E-2" style="1" bestFit="1" customWidth="1"/>
    <col min="9734" max="9734" width="0.90625" style="1" bestFit="1" customWidth="1"/>
    <col min="9735" max="9735" width="2" style="1" bestFit="1" customWidth="1"/>
    <col min="9736" max="9739" width="2.90625" style="1" bestFit="1" customWidth="1"/>
    <col min="9740" max="9740" width="2.54296875" style="1" bestFit="1" customWidth="1"/>
    <col min="9741" max="9741" width="0.36328125" style="1" bestFit="1" customWidth="1"/>
    <col min="9742" max="9745" width="2.90625" style="1" bestFit="1" customWidth="1"/>
    <col min="9746" max="9746" width="0.90625" style="1" bestFit="1" customWidth="1"/>
    <col min="9747" max="9747" width="2" style="1" bestFit="1" customWidth="1"/>
    <col min="9748" max="9749" width="2.90625" style="1" bestFit="1" customWidth="1"/>
    <col min="9750" max="9750" width="0.6328125" style="1" bestFit="1" customWidth="1"/>
    <col min="9751" max="9751" width="2.08984375" style="1" bestFit="1" customWidth="1"/>
    <col min="9752" max="9752" width="1.08984375" style="1" bestFit="1" customWidth="1"/>
    <col min="9753" max="9754" width="1.6328125" style="1" bestFit="1" customWidth="1"/>
    <col min="9755" max="9755" width="1.08984375" style="1" bestFit="1" customWidth="1"/>
    <col min="9756" max="9760" width="2.90625" style="1" bestFit="1" customWidth="1"/>
    <col min="9761" max="9761" width="2.6328125" style="1" bestFit="1" customWidth="1"/>
    <col min="9762" max="9762" width="8.984375E-2" style="1" bestFit="1" customWidth="1"/>
    <col min="9763" max="9764" width="2.90625" style="1" bestFit="1" customWidth="1"/>
    <col min="9765" max="9765" width="1.08984375" style="1" bestFit="1" customWidth="1"/>
    <col min="9766" max="9767" width="1.6328125" style="1" bestFit="1" customWidth="1"/>
    <col min="9768" max="9769" width="5" style="1" bestFit="1" customWidth="1"/>
    <col min="9770" max="9770" width="1.6328125" style="1" bestFit="1" customWidth="1"/>
    <col min="9771" max="9771" width="10.08984375" style="1" bestFit="1" customWidth="1"/>
    <col min="9772" max="9773" width="3.453125" style="1" bestFit="1" customWidth="1"/>
    <col min="9774" max="9774" width="7" style="1" bestFit="1" customWidth="1"/>
    <col min="9775" max="9984" width="9.08984375" style="1"/>
    <col min="9985" max="9985" width="1.6328125" style="1" bestFit="1" customWidth="1"/>
    <col min="9986" max="9986" width="0.90625" style="1" bestFit="1" customWidth="1"/>
    <col min="9987" max="9987" width="14.54296875" style="1" bestFit="1" customWidth="1"/>
    <col min="9988" max="9988" width="8.6328125" style="1" bestFit="1" customWidth="1"/>
    <col min="9989" max="9989" width="8.984375E-2" style="1" bestFit="1" customWidth="1"/>
    <col min="9990" max="9990" width="0.90625" style="1" bestFit="1" customWidth="1"/>
    <col min="9991" max="9991" width="2" style="1" bestFit="1" customWidth="1"/>
    <col min="9992" max="9995" width="2.90625" style="1" bestFit="1" customWidth="1"/>
    <col min="9996" max="9996" width="2.54296875" style="1" bestFit="1" customWidth="1"/>
    <col min="9997" max="9997" width="0.36328125" style="1" bestFit="1" customWidth="1"/>
    <col min="9998" max="10001" width="2.90625" style="1" bestFit="1" customWidth="1"/>
    <col min="10002" max="10002" width="0.90625" style="1" bestFit="1" customWidth="1"/>
    <col min="10003" max="10003" width="2" style="1" bestFit="1" customWidth="1"/>
    <col min="10004" max="10005" width="2.90625" style="1" bestFit="1" customWidth="1"/>
    <col min="10006" max="10006" width="0.6328125" style="1" bestFit="1" customWidth="1"/>
    <col min="10007" max="10007" width="2.08984375" style="1" bestFit="1" customWidth="1"/>
    <col min="10008" max="10008" width="1.08984375" style="1" bestFit="1" customWidth="1"/>
    <col min="10009" max="10010" width="1.6328125" style="1" bestFit="1" customWidth="1"/>
    <col min="10011" max="10011" width="1.08984375" style="1" bestFit="1" customWidth="1"/>
    <col min="10012" max="10016" width="2.90625" style="1" bestFit="1" customWidth="1"/>
    <col min="10017" max="10017" width="2.6328125" style="1" bestFit="1" customWidth="1"/>
    <col min="10018" max="10018" width="8.984375E-2" style="1" bestFit="1" customWidth="1"/>
    <col min="10019" max="10020" width="2.90625" style="1" bestFit="1" customWidth="1"/>
    <col min="10021" max="10021" width="1.08984375" style="1" bestFit="1" customWidth="1"/>
    <col min="10022" max="10023" width="1.6328125" style="1" bestFit="1" customWidth="1"/>
    <col min="10024" max="10025" width="5" style="1" bestFit="1" customWidth="1"/>
    <col min="10026" max="10026" width="1.6328125" style="1" bestFit="1" customWidth="1"/>
    <col min="10027" max="10027" width="10.08984375" style="1" bestFit="1" customWidth="1"/>
    <col min="10028" max="10029" width="3.453125" style="1" bestFit="1" customWidth="1"/>
    <col min="10030" max="10030" width="7" style="1" bestFit="1" customWidth="1"/>
    <col min="10031" max="10240" width="9.08984375" style="1"/>
    <col min="10241" max="10241" width="1.6328125" style="1" bestFit="1" customWidth="1"/>
    <col min="10242" max="10242" width="0.90625" style="1" bestFit="1" customWidth="1"/>
    <col min="10243" max="10243" width="14.54296875" style="1" bestFit="1" customWidth="1"/>
    <col min="10244" max="10244" width="8.6328125" style="1" bestFit="1" customWidth="1"/>
    <col min="10245" max="10245" width="8.984375E-2" style="1" bestFit="1" customWidth="1"/>
    <col min="10246" max="10246" width="0.90625" style="1" bestFit="1" customWidth="1"/>
    <col min="10247" max="10247" width="2" style="1" bestFit="1" customWidth="1"/>
    <col min="10248" max="10251" width="2.90625" style="1" bestFit="1" customWidth="1"/>
    <col min="10252" max="10252" width="2.54296875" style="1" bestFit="1" customWidth="1"/>
    <col min="10253" max="10253" width="0.36328125" style="1" bestFit="1" customWidth="1"/>
    <col min="10254" max="10257" width="2.90625" style="1" bestFit="1" customWidth="1"/>
    <col min="10258" max="10258" width="0.90625" style="1" bestFit="1" customWidth="1"/>
    <col min="10259" max="10259" width="2" style="1" bestFit="1" customWidth="1"/>
    <col min="10260" max="10261" width="2.90625" style="1" bestFit="1" customWidth="1"/>
    <col min="10262" max="10262" width="0.6328125" style="1" bestFit="1" customWidth="1"/>
    <col min="10263" max="10263" width="2.08984375" style="1" bestFit="1" customWidth="1"/>
    <col min="10264" max="10264" width="1.08984375" style="1" bestFit="1" customWidth="1"/>
    <col min="10265" max="10266" width="1.6328125" style="1" bestFit="1" customWidth="1"/>
    <col min="10267" max="10267" width="1.08984375" style="1" bestFit="1" customWidth="1"/>
    <col min="10268" max="10272" width="2.90625" style="1" bestFit="1" customWidth="1"/>
    <col min="10273" max="10273" width="2.6328125" style="1" bestFit="1" customWidth="1"/>
    <col min="10274" max="10274" width="8.984375E-2" style="1" bestFit="1" customWidth="1"/>
    <col min="10275" max="10276" width="2.90625" style="1" bestFit="1" customWidth="1"/>
    <col min="10277" max="10277" width="1.08984375" style="1" bestFit="1" customWidth="1"/>
    <col min="10278" max="10279" width="1.6328125" style="1" bestFit="1" customWidth="1"/>
    <col min="10280" max="10281" width="5" style="1" bestFit="1" customWidth="1"/>
    <col min="10282" max="10282" width="1.6328125" style="1" bestFit="1" customWidth="1"/>
    <col min="10283" max="10283" width="10.08984375" style="1" bestFit="1" customWidth="1"/>
    <col min="10284" max="10285" width="3.453125" style="1" bestFit="1" customWidth="1"/>
    <col min="10286" max="10286" width="7" style="1" bestFit="1" customWidth="1"/>
    <col min="10287" max="10496" width="9.08984375" style="1"/>
    <col min="10497" max="10497" width="1.6328125" style="1" bestFit="1" customWidth="1"/>
    <col min="10498" max="10498" width="0.90625" style="1" bestFit="1" customWidth="1"/>
    <col min="10499" max="10499" width="14.54296875" style="1" bestFit="1" customWidth="1"/>
    <col min="10500" max="10500" width="8.6328125" style="1" bestFit="1" customWidth="1"/>
    <col min="10501" max="10501" width="8.984375E-2" style="1" bestFit="1" customWidth="1"/>
    <col min="10502" max="10502" width="0.90625" style="1" bestFit="1" customWidth="1"/>
    <col min="10503" max="10503" width="2" style="1" bestFit="1" customWidth="1"/>
    <col min="10504" max="10507" width="2.90625" style="1" bestFit="1" customWidth="1"/>
    <col min="10508" max="10508" width="2.54296875" style="1" bestFit="1" customWidth="1"/>
    <col min="10509" max="10509" width="0.36328125" style="1" bestFit="1" customWidth="1"/>
    <col min="10510" max="10513" width="2.90625" style="1" bestFit="1" customWidth="1"/>
    <col min="10514" max="10514" width="0.90625" style="1" bestFit="1" customWidth="1"/>
    <col min="10515" max="10515" width="2" style="1" bestFit="1" customWidth="1"/>
    <col min="10516" max="10517" width="2.90625" style="1" bestFit="1" customWidth="1"/>
    <col min="10518" max="10518" width="0.6328125" style="1" bestFit="1" customWidth="1"/>
    <col min="10519" max="10519" width="2.08984375" style="1" bestFit="1" customWidth="1"/>
    <col min="10520" max="10520" width="1.08984375" style="1" bestFit="1" customWidth="1"/>
    <col min="10521" max="10522" width="1.6328125" style="1" bestFit="1" customWidth="1"/>
    <col min="10523" max="10523" width="1.08984375" style="1" bestFit="1" customWidth="1"/>
    <col min="10524" max="10528" width="2.90625" style="1" bestFit="1" customWidth="1"/>
    <col min="10529" max="10529" width="2.6328125" style="1" bestFit="1" customWidth="1"/>
    <col min="10530" max="10530" width="8.984375E-2" style="1" bestFit="1" customWidth="1"/>
    <col min="10531" max="10532" width="2.90625" style="1" bestFit="1" customWidth="1"/>
    <col min="10533" max="10533" width="1.08984375" style="1" bestFit="1" customWidth="1"/>
    <col min="10534" max="10535" width="1.6328125" style="1" bestFit="1" customWidth="1"/>
    <col min="10536" max="10537" width="5" style="1" bestFit="1" customWidth="1"/>
    <col min="10538" max="10538" width="1.6328125" style="1" bestFit="1" customWidth="1"/>
    <col min="10539" max="10539" width="10.08984375" style="1" bestFit="1" customWidth="1"/>
    <col min="10540" max="10541" width="3.453125" style="1" bestFit="1" customWidth="1"/>
    <col min="10542" max="10542" width="7" style="1" bestFit="1" customWidth="1"/>
    <col min="10543" max="10752" width="9.08984375" style="1"/>
    <col min="10753" max="10753" width="1.6328125" style="1" bestFit="1" customWidth="1"/>
    <col min="10754" max="10754" width="0.90625" style="1" bestFit="1" customWidth="1"/>
    <col min="10755" max="10755" width="14.54296875" style="1" bestFit="1" customWidth="1"/>
    <col min="10756" max="10756" width="8.6328125" style="1" bestFit="1" customWidth="1"/>
    <col min="10757" max="10757" width="8.984375E-2" style="1" bestFit="1" customWidth="1"/>
    <col min="10758" max="10758" width="0.90625" style="1" bestFit="1" customWidth="1"/>
    <col min="10759" max="10759" width="2" style="1" bestFit="1" customWidth="1"/>
    <col min="10760" max="10763" width="2.90625" style="1" bestFit="1" customWidth="1"/>
    <col min="10764" max="10764" width="2.54296875" style="1" bestFit="1" customWidth="1"/>
    <col min="10765" max="10765" width="0.36328125" style="1" bestFit="1" customWidth="1"/>
    <col min="10766" max="10769" width="2.90625" style="1" bestFit="1" customWidth="1"/>
    <col min="10770" max="10770" width="0.90625" style="1" bestFit="1" customWidth="1"/>
    <col min="10771" max="10771" width="2" style="1" bestFit="1" customWidth="1"/>
    <col min="10772" max="10773" width="2.90625" style="1" bestFit="1" customWidth="1"/>
    <col min="10774" max="10774" width="0.6328125" style="1" bestFit="1" customWidth="1"/>
    <col min="10775" max="10775" width="2.08984375" style="1" bestFit="1" customWidth="1"/>
    <col min="10776" max="10776" width="1.08984375" style="1" bestFit="1" customWidth="1"/>
    <col min="10777" max="10778" width="1.6328125" style="1" bestFit="1" customWidth="1"/>
    <col min="10779" max="10779" width="1.08984375" style="1" bestFit="1" customWidth="1"/>
    <col min="10780" max="10784" width="2.90625" style="1" bestFit="1" customWidth="1"/>
    <col min="10785" max="10785" width="2.6328125" style="1" bestFit="1" customWidth="1"/>
    <col min="10786" max="10786" width="8.984375E-2" style="1" bestFit="1" customWidth="1"/>
    <col min="10787" max="10788" width="2.90625" style="1" bestFit="1" customWidth="1"/>
    <col min="10789" max="10789" width="1.08984375" style="1" bestFit="1" customWidth="1"/>
    <col min="10790" max="10791" width="1.6328125" style="1" bestFit="1" customWidth="1"/>
    <col min="10792" max="10793" width="5" style="1" bestFit="1" customWidth="1"/>
    <col min="10794" max="10794" width="1.6328125" style="1" bestFit="1" customWidth="1"/>
    <col min="10795" max="10795" width="10.08984375" style="1" bestFit="1" customWidth="1"/>
    <col min="10796" max="10797" width="3.453125" style="1" bestFit="1" customWidth="1"/>
    <col min="10798" max="10798" width="7" style="1" bestFit="1" customWidth="1"/>
    <col min="10799" max="11008" width="9.08984375" style="1"/>
    <col min="11009" max="11009" width="1.6328125" style="1" bestFit="1" customWidth="1"/>
    <col min="11010" max="11010" width="0.90625" style="1" bestFit="1" customWidth="1"/>
    <col min="11011" max="11011" width="14.54296875" style="1" bestFit="1" customWidth="1"/>
    <col min="11012" max="11012" width="8.6328125" style="1" bestFit="1" customWidth="1"/>
    <col min="11013" max="11013" width="8.984375E-2" style="1" bestFit="1" customWidth="1"/>
    <col min="11014" max="11014" width="0.90625" style="1" bestFit="1" customWidth="1"/>
    <col min="11015" max="11015" width="2" style="1" bestFit="1" customWidth="1"/>
    <col min="11016" max="11019" width="2.90625" style="1" bestFit="1" customWidth="1"/>
    <col min="11020" max="11020" width="2.54296875" style="1" bestFit="1" customWidth="1"/>
    <col min="11021" max="11021" width="0.36328125" style="1" bestFit="1" customWidth="1"/>
    <col min="11022" max="11025" width="2.90625" style="1" bestFit="1" customWidth="1"/>
    <col min="11026" max="11026" width="0.90625" style="1" bestFit="1" customWidth="1"/>
    <col min="11027" max="11027" width="2" style="1" bestFit="1" customWidth="1"/>
    <col min="11028" max="11029" width="2.90625" style="1" bestFit="1" customWidth="1"/>
    <col min="11030" max="11030" width="0.6328125" style="1" bestFit="1" customWidth="1"/>
    <col min="11031" max="11031" width="2.08984375" style="1" bestFit="1" customWidth="1"/>
    <col min="11032" max="11032" width="1.08984375" style="1" bestFit="1" customWidth="1"/>
    <col min="11033" max="11034" width="1.6328125" style="1" bestFit="1" customWidth="1"/>
    <col min="11035" max="11035" width="1.08984375" style="1" bestFit="1" customWidth="1"/>
    <col min="11036" max="11040" width="2.90625" style="1" bestFit="1" customWidth="1"/>
    <col min="11041" max="11041" width="2.6328125" style="1" bestFit="1" customWidth="1"/>
    <col min="11042" max="11042" width="8.984375E-2" style="1" bestFit="1" customWidth="1"/>
    <col min="11043" max="11044" width="2.90625" style="1" bestFit="1" customWidth="1"/>
    <col min="11045" max="11045" width="1.08984375" style="1" bestFit="1" customWidth="1"/>
    <col min="11046" max="11047" width="1.6328125" style="1" bestFit="1" customWidth="1"/>
    <col min="11048" max="11049" width="5" style="1" bestFit="1" customWidth="1"/>
    <col min="11050" max="11050" width="1.6328125" style="1" bestFit="1" customWidth="1"/>
    <col min="11051" max="11051" width="10.08984375" style="1" bestFit="1" customWidth="1"/>
    <col min="11052" max="11053" width="3.453125" style="1" bestFit="1" customWidth="1"/>
    <col min="11054" max="11054" width="7" style="1" bestFit="1" customWidth="1"/>
    <col min="11055" max="11264" width="9.08984375" style="1"/>
    <col min="11265" max="11265" width="1.6328125" style="1" bestFit="1" customWidth="1"/>
    <col min="11266" max="11266" width="0.90625" style="1" bestFit="1" customWidth="1"/>
    <col min="11267" max="11267" width="14.54296875" style="1" bestFit="1" customWidth="1"/>
    <col min="11268" max="11268" width="8.6328125" style="1" bestFit="1" customWidth="1"/>
    <col min="11269" max="11269" width="8.984375E-2" style="1" bestFit="1" customWidth="1"/>
    <col min="11270" max="11270" width="0.90625" style="1" bestFit="1" customWidth="1"/>
    <col min="11271" max="11271" width="2" style="1" bestFit="1" customWidth="1"/>
    <col min="11272" max="11275" width="2.90625" style="1" bestFit="1" customWidth="1"/>
    <col min="11276" max="11276" width="2.54296875" style="1" bestFit="1" customWidth="1"/>
    <col min="11277" max="11277" width="0.36328125" style="1" bestFit="1" customWidth="1"/>
    <col min="11278" max="11281" width="2.90625" style="1" bestFit="1" customWidth="1"/>
    <col min="11282" max="11282" width="0.90625" style="1" bestFit="1" customWidth="1"/>
    <col min="11283" max="11283" width="2" style="1" bestFit="1" customWidth="1"/>
    <col min="11284" max="11285" width="2.90625" style="1" bestFit="1" customWidth="1"/>
    <col min="11286" max="11286" width="0.6328125" style="1" bestFit="1" customWidth="1"/>
    <col min="11287" max="11287" width="2.08984375" style="1" bestFit="1" customWidth="1"/>
    <col min="11288" max="11288" width="1.08984375" style="1" bestFit="1" customWidth="1"/>
    <col min="11289" max="11290" width="1.6328125" style="1" bestFit="1" customWidth="1"/>
    <col min="11291" max="11291" width="1.08984375" style="1" bestFit="1" customWidth="1"/>
    <col min="11292" max="11296" width="2.90625" style="1" bestFit="1" customWidth="1"/>
    <col min="11297" max="11297" width="2.6328125" style="1" bestFit="1" customWidth="1"/>
    <col min="11298" max="11298" width="8.984375E-2" style="1" bestFit="1" customWidth="1"/>
    <col min="11299" max="11300" width="2.90625" style="1" bestFit="1" customWidth="1"/>
    <col min="11301" max="11301" width="1.08984375" style="1" bestFit="1" customWidth="1"/>
    <col min="11302" max="11303" width="1.6328125" style="1" bestFit="1" customWidth="1"/>
    <col min="11304" max="11305" width="5" style="1" bestFit="1" customWidth="1"/>
    <col min="11306" max="11306" width="1.6328125" style="1" bestFit="1" customWidth="1"/>
    <col min="11307" max="11307" width="10.08984375" style="1" bestFit="1" customWidth="1"/>
    <col min="11308" max="11309" width="3.453125" style="1" bestFit="1" customWidth="1"/>
    <col min="11310" max="11310" width="7" style="1" bestFit="1" customWidth="1"/>
    <col min="11311" max="11520" width="9.08984375" style="1"/>
    <col min="11521" max="11521" width="1.6328125" style="1" bestFit="1" customWidth="1"/>
    <col min="11522" max="11522" width="0.90625" style="1" bestFit="1" customWidth="1"/>
    <col min="11523" max="11523" width="14.54296875" style="1" bestFit="1" customWidth="1"/>
    <col min="11524" max="11524" width="8.6328125" style="1" bestFit="1" customWidth="1"/>
    <col min="11525" max="11525" width="8.984375E-2" style="1" bestFit="1" customWidth="1"/>
    <col min="11526" max="11526" width="0.90625" style="1" bestFit="1" customWidth="1"/>
    <col min="11527" max="11527" width="2" style="1" bestFit="1" customWidth="1"/>
    <col min="11528" max="11531" width="2.90625" style="1" bestFit="1" customWidth="1"/>
    <col min="11532" max="11532" width="2.54296875" style="1" bestFit="1" customWidth="1"/>
    <col min="11533" max="11533" width="0.36328125" style="1" bestFit="1" customWidth="1"/>
    <col min="11534" max="11537" width="2.90625" style="1" bestFit="1" customWidth="1"/>
    <col min="11538" max="11538" width="0.90625" style="1" bestFit="1" customWidth="1"/>
    <col min="11539" max="11539" width="2" style="1" bestFit="1" customWidth="1"/>
    <col min="11540" max="11541" width="2.90625" style="1" bestFit="1" customWidth="1"/>
    <col min="11542" max="11542" width="0.6328125" style="1" bestFit="1" customWidth="1"/>
    <col min="11543" max="11543" width="2.08984375" style="1" bestFit="1" customWidth="1"/>
    <col min="11544" max="11544" width="1.08984375" style="1" bestFit="1" customWidth="1"/>
    <col min="11545" max="11546" width="1.6328125" style="1" bestFit="1" customWidth="1"/>
    <col min="11547" max="11547" width="1.08984375" style="1" bestFit="1" customWidth="1"/>
    <col min="11548" max="11552" width="2.90625" style="1" bestFit="1" customWidth="1"/>
    <col min="11553" max="11553" width="2.6328125" style="1" bestFit="1" customWidth="1"/>
    <col min="11554" max="11554" width="8.984375E-2" style="1" bestFit="1" customWidth="1"/>
    <col min="11555" max="11556" width="2.90625" style="1" bestFit="1" customWidth="1"/>
    <col min="11557" max="11557" width="1.08984375" style="1" bestFit="1" customWidth="1"/>
    <col min="11558" max="11559" width="1.6328125" style="1" bestFit="1" customWidth="1"/>
    <col min="11560" max="11561" width="5" style="1" bestFit="1" customWidth="1"/>
    <col min="11562" max="11562" width="1.6328125" style="1" bestFit="1" customWidth="1"/>
    <col min="11563" max="11563" width="10.08984375" style="1" bestFit="1" customWidth="1"/>
    <col min="11564" max="11565" width="3.453125" style="1" bestFit="1" customWidth="1"/>
    <col min="11566" max="11566" width="7" style="1" bestFit="1" customWidth="1"/>
    <col min="11567" max="11776" width="9.08984375" style="1"/>
    <col min="11777" max="11777" width="1.6328125" style="1" bestFit="1" customWidth="1"/>
    <col min="11778" max="11778" width="0.90625" style="1" bestFit="1" customWidth="1"/>
    <col min="11779" max="11779" width="14.54296875" style="1" bestFit="1" customWidth="1"/>
    <col min="11780" max="11780" width="8.6328125" style="1" bestFit="1" customWidth="1"/>
    <col min="11781" max="11781" width="8.984375E-2" style="1" bestFit="1" customWidth="1"/>
    <col min="11782" max="11782" width="0.90625" style="1" bestFit="1" customWidth="1"/>
    <col min="11783" max="11783" width="2" style="1" bestFit="1" customWidth="1"/>
    <col min="11784" max="11787" width="2.90625" style="1" bestFit="1" customWidth="1"/>
    <col min="11788" max="11788" width="2.54296875" style="1" bestFit="1" customWidth="1"/>
    <col min="11789" max="11789" width="0.36328125" style="1" bestFit="1" customWidth="1"/>
    <col min="11790" max="11793" width="2.90625" style="1" bestFit="1" customWidth="1"/>
    <col min="11794" max="11794" width="0.90625" style="1" bestFit="1" customWidth="1"/>
    <col min="11795" max="11795" width="2" style="1" bestFit="1" customWidth="1"/>
    <col min="11796" max="11797" width="2.90625" style="1" bestFit="1" customWidth="1"/>
    <col min="11798" max="11798" width="0.6328125" style="1" bestFit="1" customWidth="1"/>
    <col min="11799" max="11799" width="2.08984375" style="1" bestFit="1" customWidth="1"/>
    <col min="11800" max="11800" width="1.08984375" style="1" bestFit="1" customWidth="1"/>
    <col min="11801" max="11802" width="1.6328125" style="1" bestFit="1" customWidth="1"/>
    <col min="11803" max="11803" width="1.08984375" style="1" bestFit="1" customWidth="1"/>
    <col min="11804" max="11808" width="2.90625" style="1" bestFit="1" customWidth="1"/>
    <col min="11809" max="11809" width="2.6328125" style="1" bestFit="1" customWidth="1"/>
    <col min="11810" max="11810" width="8.984375E-2" style="1" bestFit="1" customWidth="1"/>
    <col min="11811" max="11812" width="2.90625" style="1" bestFit="1" customWidth="1"/>
    <col min="11813" max="11813" width="1.08984375" style="1" bestFit="1" customWidth="1"/>
    <col min="11814" max="11815" width="1.6328125" style="1" bestFit="1" customWidth="1"/>
    <col min="11816" max="11817" width="5" style="1" bestFit="1" customWidth="1"/>
    <col min="11818" max="11818" width="1.6328125" style="1" bestFit="1" customWidth="1"/>
    <col min="11819" max="11819" width="10.08984375" style="1" bestFit="1" customWidth="1"/>
    <col min="11820" max="11821" width="3.453125" style="1" bestFit="1" customWidth="1"/>
    <col min="11822" max="11822" width="7" style="1" bestFit="1" customWidth="1"/>
    <col min="11823" max="12032" width="9.08984375" style="1"/>
    <col min="12033" max="12033" width="1.6328125" style="1" bestFit="1" customWidth="1"/>
    <col min="12034" max="12034" width="0.90625" style="1" bestFit="1" customWidth="1"/>
    <col min="12035" max="12035" width="14.54296875" style="1" bestFit="1" customWidth="1"/>
    <col min="12036" max="12036" width="8.6328125" style="1" bestFit="1" customWidth="1"/>
    <col min="12037" max="12037" width="8.984375E-2" style="1" bestFit="1" customWidth="1"/>
    <col min="12038" max="12038" width="0.90625" style="1" bestFit="1" customWidth="1"/>
    <col min="12039" max="12039" width="2" style="1" bestFit="1" customWidth="1"/>
    <col min="12040" max="12043" width="2.90625" style="1" bestFit="1" customWidth="1"/>
    <col min="12044" max="12044" width="2.54296875" style="1" bestFit="1" customWidth="1"/>
    <col min="12045" max="12045" width="0.36328125" style="1" bestFit="1" customWidth="1"/>
    <col min="12046" max="12049" width="2.90625" style="1" bestFit="1" customWidth="1"/>
    <col min="12050" max="12050" width="0.90625" style="1" bestFit="1" customWidth="1"/>
    <col min="12051" max="12051" width="2" style="1" bestFit="1" customWidth="1"/>
    <col min="12052" max="12053" width="2.90625" style="1" bestFit="1" customWidth="1"/>
    <col min="12054" max="12054" width="0.6328125" style="1" bestFit="1" customWidth="1"/>
    <col min="12055" max="12055" width="2.08984375" style="1" bestFit="1" customWidth="1"/>
    <col min="12056" max="12056" width="1.08984375" style="1" bestFit="1" customWidth="1"/>
    <col min="12057" max="12058" width="1.6328125" style="1" bestFit="1" customWidth="1"/>
    <col min="12059" max="12059" width="1.08984375" style="1" bestFit="1" customWidth="1"/>
    <col min="12060" max="12064" width="2.90625" style="1" bestFit="1" customWidth="1"/>
    <col min="12065" max="12065" width="2.6328125" style="1" bestFit="1" customWidth="1"/>
    <col min="12066" max="12066" width="8.984375E-2" style="1" bestFit="1" customWidth="1"/>
    <col min="12067" max="12068" width="2.90625" style="1" bestFit="1" customWidth="1"/>
    <col min="12069" max="12069" width="1.08984375" style="1" bestFit="1" customWidth="1"/>
    <col min="12070" max="12071" width="1.6328125" style="1" bestFit="1" customWidth="1"/>
    <col min="12072" max="12073" width="5" style="1" bestFit="1" customWidth="1"/>
    <col min="12074" max="12074" width="1.6328125" style="1" bestFit="1" customWidth="1"/>
    <col min="12075" max="12075" width="10.08984375" style="1" bestFit="1" customWidth="1"/>
    <col min="12076" max="12077" width="3.453125" style="1" bestFit="1" customWidth="1"/>
    <col min="12078" max="12078" width="7" style="1" bestFit="1" customWidth="1"/>
    <col min="12079" max="12288" width="9.08984375" style="1"/>
    <col min="12289" max="12289" width="1.6328125" style="1" bestFit="1" customWidth="1"/>
    <col min="12290" max="12290" width="0.90625" style="1" bestFit="1" customWidth="1"/>
    <col min="12291" max="12291" width="14.54296875" style="1" bestFit="1" customWidth="1"/>
    <col min="12292" max="12292" width="8.6328125" style="1" bestFit="1" customWidth="1"/>
    <col min="12293" max="12293" width="8.984375E-2" style="1" bestFit="1" customWidth="1"/>
    <col min="12294" max="12294" width="0.90625" style="1" bestFit="1" customWidth="1"/>
    <col min="12295" max="12295" width="2" style="1" bestFit="1" customWidth="1"/>
    <col min="12296" max="12299" width="2.90625" style="1" bestFit="1" customWidth="1"/>
    <col min="12300" max="12300" width="2.54296875" style="1" bestFit="1" customWidth="1"/>
    <col min="12301" max="12301" width="0.36328125" style="1" bestFit="1" customWidth="1"/>
    <col min="12302" max="12305" width="2.90625" style="1" bestFit="1" customWidth="1"/>
    <col min="12306" max="12306" width="0.90625" style="1" bestFit="1" customWidth="1"/>
    <col min="12307" max="12307" width="2" style="1" bestFit="1" customWidth="1"/>
    <col min="12308" max="12309" width="2.90625" style="1" bestFit="1" customWidth="1"/>
    <col min="12310" max="12310" width="0.6328125" style="1" bestFit="1" customWidth="1"/>
    <col min="12311" max="12311" width="2.08984375" style="1" bestFit="1" customWidth="1"/>
    <col min="12312" max="12312" width="1.08984375" style="1" bestFit="1" customWidth="1"/>
    <col min="12313" max="12314" width="1.6328125" style="1" bestFit="1" customWidth="1"/>
    <col min="12315" max="12315" width="1.08984375" style="1" bestFit="1" customWidth="1"/>
    <col min="12316" max="12320" width="2.90625" style="1" bestFit="1" customWidth="1"/>
    <col min="12321" max="12321" width="2.6328125" style="1" bestFit="1" customWidth="1"/>
    <col min="12322" max="12322" width="8.984375E-2" style="1" bestFit="1" customWidth="1"/>
    <col min="12323" max="12324" width="2.90625" style="1" bestFit="1" customWidth="1"/>
    <col min="12325" max="12325" width="1.08984375" style="1" bestFit="1" customWidth="1"/>
    <col min="12326" max="12327" width="1.6328125" style="1" bestFit="1" customWidth="1"/>
    <col min="12328" max="12329" width="5" style="1" bestFit="1" customWidth="1"/>
    <col min="12330" max="12330" width="1.6328125" style="1" bestFit="1" customWidth="1"/>
    <col min="12331" max="12331" width="10.08984375" style="1" bestFit="1" customWidth="1"/>
    <col min="12332" max="12333" width="3.453125" style="1" bestFit="1" customWidth="1"/>
    <col min="12334" max="12334" width="7" style="1" bestFit="1" customWidth="1"/>
    <col min="12335" max="12544" width="9.08984375" style="1"/>
    <col min="12545" max="12545" width="1.6328125" style="1" bestFit="1" customWidth="1"/>
    <col min="12546" max="12546" width="0.90625" style="1" bestFit="1" customWidth="1"/>
    <col min="12547" max="12547" width="14.54296875" style="1" bestFit="1" customWidth="1"/>
    <col min="12548" max="12548" width="8.6328125" style="1" bestFit="1" customWidth="1"/>
    <col min="12549" max="12549" width="8.984375E-2" style="1" bestFit="1" customWidth="1"/>
    <col min="12550" max="12550" width="0.90625" style="1" bestFit="1" customWidth="1"/>
    <col min="12551" max="12551" width="2" style="1" bestFit="1" customWidth="1"/>
    <col min="12552" max="12555" width="2.90625" style="1" bestFit="1" customWidth="1"/>
    <col min="12556" max="12556" width="2.54296875" style="1" bestFit="1" customWidth="1"/>
    <col min="12557" max="12557" width="0.36328125" style="1" bestFit="1" customWidth="1"/>
    <col min="12558" max="12561" width="2.90625" style="1" bestFit="1" customWidth="1"/>
    <col min="12562" max="12562" width="0.90625" style="1" bestFit="1" customWidth="1"/>
    <col min="12563" max="12563" width="2" style="1" bestFit="1" customWidth="1"/>
    <col min="12564" max="12565" width="2.90625" style="1" bestFit="1" customWidth="1"/>
    <col min="12566" max="12566" width="0.6328125" style="1" bestFit="1" customWidth="1"/>
    <col min="12567" max="12567" width="2.08984375" style="1" bestFit="1" customWidth="1"/>
    <col min="12568" max="12568" width="1.08984375" style="1" bestFit="1" customWidth="1"/>
    <col min="12569" max="12570" width="1.6328125" style="1" bestFit="1" customWidth="1"/>
    <col min="12571" max="12571" width="1.08984375" style="1" bestFit="1" customWidth="1"/>
    <col min="12572" max="12576" width="2.90625" style="1" bestFit="1" customWidth="1"/>
    <col min="12577" max="12577" width="2.6328125" style="1" bestFit="1" customWidth="1"/>
    <col min="12578" max="12578" width="8.984375E-2" style="1" bestFit="1" customWidth="1"/>
    <col min="12579" max="12580" width="2.90625" style="1" bestFit="1" customWidth="1"/>
    <col min="12581" max="12581" width="1.08984375" style="1" bestFit="1" customWidth="1"/>
    <col min="12582" max="12583" width="1.6328125" style="1" bestFit="1" customWidth="1"/>
    <col min="12584" max="12585" width="5" style="1" bestFit="1" customWidth="1"/>
    <col min="12586" max="12586" width="1.6328125" style="1" bestFit="1" customWidth="1"/>
    <col min="12587" max="12587" width="10.08984375" style="1" bestFit="1" customWidth="1"/>
    <col min="12588" max="12589" width="3.453125" style="1" bestFit="1" customWidth="1"/>
    <col min="12590" max="12590" width="7" style="1" bestFit="1" customWidth="1"/>
    <col min="12591" max="12800" width="9.08984375" style="1"/>
    <col min="12801" max="12801" width="1.6328125" style="1" bestFit="1" customWidth="1"/>
    <col min="12802" max="12802" width="0.90625" style="1" bestFit="1" customWidth="1"/>
    <col min="12803" max="12803" width="14.54296875" style="1" bestFit="1" customWidth="1"/>
    <col min="12804" max="12804" width="8.6328125" style="1" bestFit="1" customWidth="1"/>
    <col min="12805" max="12805" width="8.984375E-2" style="1" bestFit="1" customWidth="1"/>
    <col min="12806" max="12806" width="0.90625" style="1" bestFit="1" customWidth="1"/>
    <col min="12807" max="12807" width="2" style="1" bestFit="1" customWidth="1"/>
    <col min="12808" max="12811" width="2.90625" style="1" bestFit="1" customWidth="1"/>
    <col min="12812" max="12812" width="2.54296875" style="1" bestFit="1" customWidth="1"/>
    <col min="12813" max="12813" width="0.36328125" style="1" bestFit="1" customWidth="1"/>
    <col min="12814" max="12817" width="2.90625" style="1" bestFit="1" customWidth="1"/>
    <col min="12818" max="12818" width="0.90625" style="1" bestFit="1" customWidth="1"/>
    <col min="12819" max="12819" width="2" style="1" bestFit="1" customWidth="1"/>
    <col min="12820" max="12821" width="2.90625" style="1" bestFit="1" customWidth="1"/>
    <col min="12822" max="12822" width="0.6328125" style="1" bestFit="1" customWidth="1"/>
    <col min="12823" max="12823" width="2.08984375" style="1" bestFit="1" customWidth="1"/>
    <col min="12824" max="12824" width="1.08984375" style="1" bestFit="1" customWidth="1"/>
    <col min="12825" max="12826" width="1.6328125" style="1" bestFit="1" customWidth="1"/>
    <col min="12827" max="12827" width="1.08984375" style="1" bestFit="1" customWidth="1"/>
    <col min="12828" max="12832" width="2.90625" style="1" bestFit="1" customWidth="1"/>
    <col min="12833" max="12833" width="2.6328125" style="1" bestFit="1" customWidth="1"/>
    <col min="12834" max="12834" width="8.984375E-2" style="1" bestFit="1" customWidth="1"/>
    <col min="12835" max="12836" width="2.90625" style="1" bestFit="1" customWidth="1"/>
    <col min="12837" max="12837" width="1.08984375" style="1" bestFit="1" customWidth="1"/>
    <col min="12838" max="12839" width="1.6328125" style="1" bestFit="1" customWidth="1"/>
    <col min="12840" max="12841" width="5" style="1" bestFit="1" customWidth="1"/>
    <col min="12842" max="12842" width="1.6328125" style="1" bestFit="1" customWidth="1"/>
    <col min="12843" max="12843" width="10.08984375" style="1" bestFit="1" customWidth="1"/>
    <col min="12844" max="12845" width="3.453125" style="1" bestFit="1" customWidth="1"/>
    <col min="12846" max="12846" width="7" style="1" bestFit="1" customWidth="1"/>
    <col min="12847" max="13056" width="9.08984375" style="1"/>
    <col min="13057" max="13057" width="1.6328125" style="1" bestFit="1" customWidth="1"/>
    <col min="13058" max="13058" width="0.90625" style="1" bestFit="1" customWidth="1"/>
    <col min="13059" max="13059" width="14.54296875" style="1" bestFit="1" customWidth="1"/>
    <col min="13060" max="13060" width="8.6328125" style="1" bestFit="1" customWidth="1"/>
    <col min="13061" max="13061" width="8.984375E-2" style="1" bestFit="1" customWidth="1"/>
    <col min="13062" max="13062" width="0.90625" style="1" bestFit="1" customWidth="1"/>
    <col min="13063" max="13063" width="2" style="1" bestFit="1" customWidth="1"/>
    <col min="13064" max="13067" width="2.90625" style="1" bestFit="1" customWidth="1"/>
    <col min="13068" max="13068" width="2.54296875" style="1" bestFit="1" customWidth="1"/>
    <col min="13069" max="13069" width="0.36328125" style="1" bestFit="1" customWidth="1"/>
    <col min="13070" max="13073" width="2.90625" style="1" bestFit="1" customWidth="1"/>
    <col min="13074" max="13074" width="0.90625" style="1" bestFit="1" customWidth="1"/>
    <col min="13075" max="13075" width="2" style="1" bestFit="1" customWidth="1"/>
    <col min="13076" max="13077" width="2.90625" style="1" bestFit="1" customWidth="1"/>
    <col min="13078" max="13078" width="0.6328125" style="1" bestFit="1" customWidth="1"/>
    <col min="13079" max="13079" width="2.08984375" style="1" bestFit="1" customWidth="1"/>
    <col min="13080" max="13080" width="1.08984375" style="1" bestFit="1" customWidth="1"/>
    <col min="13081" max="13082" width="1.6328125" style="1" bestFit="1" customWidth="1"/>
    <col min="13083" max="13083" width="1.08984375" style="1" bestFit="1" customWidth="1"/>
    <col min="13084" max="13088" width="2.90625" style="1" bestFit="1" customWidth="1"/>
    <col min="13089" max="13089" width="2.6328125" style="1" bestFit="1" customWidth="1"/>
    <col min="13090" max="13090" width="8.984375E-2" style="1" bestFit="1" customWidth="1"/>
    <col min="13091" max="13092" width="2.90625" style="1" bestFit="1" customWidth="1"/>
    <col min="13093" max="13093" width="1.08984375" style="1" bestFit="1" customWidth="1"/>
    <col min="13094" max="13095" width="1.6328125" style="1" bestFit="1" customWidth="1"/>
    <col min="13096" max="13097" width="5" style="1" bestFit="1" customWidth="1"/>
    <col min="13098" max="13098" width="1.6328125" style="1" bestFit="1" customWidth="1"/>
    <col min="13099" max="13099" width="10.08984375" style="1" bestFit="1" customWidth="1"/>
    <col min="13100" max="13101" width="3.453125" style="1" bestFit="1" customWidth="1"/>
    <col min="13102" max="13102" width="7" style="1" bestFit="1" customWidth="1"/>
    <col min="13103" max="13312" width="9.08984375" style="1"/>
    <col min="13313" max="13313" width="1.6328125" style="1" bestFit="1" customWidth="1"/>
    <col min="13314" max="13314" width="0.90625" style="1" bestFit="1" customWidth="1"/>
    <col min="13315" max="13315" width="14.54296875" style="1" bestFit="1" customWidth="1"/>
    <col min="13316" max="13316" width="8.6328125" style="1" bestFit="1" customWidth="1"/>
    <col min="13317" max="13317" width="8.984375E-2" style="1" bestFit="1" customWidth="1"/>
    <col min="13318" max="13318" width="0.90625" style="1" bestFit="1" customWidth="1"/>
    <col min="13319" max="13319" width="2" style="1" bestFit="1" customWidth="1"/>
    <col min="13320" max="13323" width="2.90625" style="1" bestFit="1" customWidth="1"/>
    <col min="13324" max="13324" width="2.54296875" style="1" bestFit="1" customWidth="1"/>
    <col min="13325" max="13325" width="0.36328125" style="1" bestFit="1" customWidth="1"/>
    <col min="13326" max="13329" width="2.90625" style="1" bestFit="1" customWidth="1"/>
    <col min="13330" max="13330" width="0.90625" style="1" bestFit="1" customWidth="1"/>
    <col min="13331" max="13331" width="2" style="1" bestFit="1" customWidth="1"/>
    <col min="13332" max="13333" width="2.90625" style="1" bestFit="1" customWidth="1"/>
    <col min="13334" max="13334" width="0.6328125" style="1" bestFit="1" customWidth="1"/>
    <col min="13335" max="13335" width="2.08984375" style="1" bestFit="1" customWidth="1"/>
    <col min="13336" max="13336" width="1.08984375" style="1" bestFit="1" customWidth="1"/>
    <col min="13337" max="13338" width="1.6328125" style="1" bestFit="1" customWidth="1"/>
    <col min="13339" max="13339" width="1.08984375" style="1" bestFit="1" customWidth="1"/>
    <col min="13340" max="13344" width="2.90625" style="1" bestFit="1" customWidth="1"/>
    <col min="13345" max="13345" width="2.6328125" style="1" bestFit="1" customWidth="1"/>
    <col min="13346" max="13346" width="8.984375E-2" style="1" bestFit="1" customWidth="1"/>
    <col min="13347" max="13348" width="2.90625" style="1" bestFit="1" customWidth="1"/>
    <col min="13349" max="13349" width="1.08984375" style="1" bestFit="1" customWidth="1"/>
    <col min="13350" max="13351" width="1.6328125" style="1" bestFit="1" customWidth="1"/>
    <col min="13352" max="13353" width="5" style="1" bestFit="1" customWidth="1"/>
    <col min="13354" max="13354" width="1.6328125" style="1" bestFit="1" customWidth="1"/>
    <col min="13355" max="13355" width="10.08984375" style="1" bestFit="1" customWidth="1"/>
    <col min="13356" max="13357" width="3.453125" style="1" bestFit="1" customWidth="1"/>
    <col min="13358" max="13358" width="7" style="1" bestFit="1" customWidth="1"/>
    <col min="13359" max="13568" width="9.08984375" style="1"/>
    <col min="13569" max="13569" width="1.6328125" style="1" bestFit="1" customWidth="1"/>
    <col min="13570" max="13570" width="0.90625" style="1" bestFit="1" customWidth="1"/>
    <col min="13571" max="13571" width="14.54296875" style="1" bestFit="1" customWidth="1"/>
    <col min="13572" max="13572" width="8.6328125" style="1" bestFit="1" customWidth="1"/>
    <col min="13573" max="13573" width="8.984375E-2" style="1" bestFit="1" customWidth="1"/>
    <col min="13574" max="13574" width="0.90625" style="1" bestFit="1" customWidth="1"/>
    <col min="13575" max="13575" width="2" style="1" bestFit="1" customWidth="1"/>
    <col min="13576" max="13579" width="2.90625" style="1" bestFit="1" customWidth="1"/>
    <col min="13580" max="13580" width="2.54296875" style="1" bestFit="1" customWidth="1"/>
    <col min="13581" max="13581" width="0.36328125" style="1" bestFit="1" customWidth="1"/>
    <col min="13582" max="13585" width="2.90625" style="1" bestFit="1" customWidth="1"/>
    <col min="13586" max="13586" width="0.90625" style="1" bestFit="1" customWidth="1"/>
    <col min="13587" max="13587" width="2" style="1" bestFit="1" customWidth="1"/>
    <col min="13588" max="13589" width="2.90625" style="1" bestFit="1" customWidth="1"/>
    <col min="13590" max="13590" width="0.6328125" style="1" bestFit="1" customWidth="1"/>
    <col min="13591" max="13591" width="2.08984375" style="1" bestFit="1" customWidth="1"/>
    <col min="13592" max="13592" width="1.08984375" style="1" bestFit="1" customWidth="1"/>
    <col min="13593" max="13594" width="1.6328125" style="1" bestFit="1" customWidth="1"/>
    <col min="13595" max="13595" width="1.08984375" style="1" bestFit="1" customWidth="1"/>
    <col min="13596" max="13600" width="2.90625" style="1" bestFit="1" customWidth="1"/>
    <col min="13601" max="13601" width="2.6328125" style="1" bestFit="1" customWidth="1"/>
    <col min="13602" max="13602" width="8.984375E-2" style="1" bestFit="1" customWidth="1"/>
    <col min="13603" max="13604" width="2.90625" style="1" bestFit="1" customWidth="1"/>
    <col min="13605" max="13605" width="1.08984375" style="1" bestFit="1" customWidth="1"/>
    <col min="13606" max="13607" width="1.6328125" style="1" bestFit="1" customWidth="1"/>
    <col min="13608" max="13609" width="5" style="1" bestFit="1" customWidth="1"/>
    <col min="13610" max="13610" width="1.6328125" style="1" bestFit="1" customWidth="1"/>
    <col min="13611" max="13611" width="10.08984375" style="1" bestFit="1" customWidth="1"/>
    <col min="13612" max="13613" width="3.453125" style="1" bestFit="1" customWidth="1"/>
    <col min="13614" max="13614" width="7" style="1" bestFit="1" customWidth="1"/>
    <col min="13615" max="13824" width="9.08984375" style="1"/>
    <col min="13825" max="13825" width="1.6328125" style="1" bestFit="1" customWidth="1"/>
    <col min="13826" max="13826" width="0.90625" style="1" bestFit="1" customWidth="1"/>
    <col min="13827" max="13827" width="14.54296875" style="1" bestFit="1" customWidth="1"/>
    <col min="13828" max="13828" width="8.6328125" style="1" bestFit="1" customWidth="1"/>
    <col min="13829" max="13829" width="8.984375E-2" style="1" bestFit="1" customWidth="1"/>
    <col min="13830" max="13830" width="0.90625" style="1" bestFit="1" customWidth="1"/>
    <col min="13831" max="13831" width="2" style="1" bestFit="1" customWidth="1"/>
    <col min="13832" max="13835" width="2.90625" style="1" bestFit="1" customWidth="1"/>
    <col min="13836" max="13836" width="2.54296875" style="1" bestFit="1" customWidth="1"/>
    <col min="13837" max="13837" width="0.36328125" style="1" bestFit="1" customWidth="1"/>
    <col min="13838" max="13841" width="2.90625" style="1" bestFit="1" customWidth="1"/>
    <col min="13842" max="13842" width="0.90625" style="1" bestFit="1" customWidth="1"/>
    <col min="13843" max="13843" width="2" style="1" bestFit="1" customWidth="1"/>
    <col min="13844" max="13845" width="2.90625" style="1" bestFit="1" customWidth="1"/>
    <col min="13846" max="13846" width="0.6328125" style="1" bestFit="1" customWidth="1"/>
    <col min="13847" max="13847" width="2.08984375" style="1" bestFit="1" customWidth="1"/>
    <col min="13848" max="13848" width="1.08984375" style="1" bestFit="1" customWidth="1"/>
    <col min="13849" max="13850" width="1.6328125" style="1" bestFit="1" customWidth="1"/>
    <col min="13851" max="13851" width="1.08984375" style="1" bestFit="1" customWidth="1"/>
    <col min="13852" max="13856" width="2.90625" style="1" bestFit="1" customWidth="1"/>
    <col min="13857" max="13857" width="2.6328125" style="1" bestFit="1" customWidth="1"/>
    <col min="13858" max="13858" width="8.984375E-2" style="1" bestFit="1" customWidth="1"/>
    <col min="13859" max="13860" width="2.90625" style="1" bestFit="1" customWidth="1"/>
    <col min="13861" max="13861" width="1.08984375" style="1" bestFit="1" customWidth="1"/>
    <col min="13862" max="13863" width="1.6328125" style="1" bestFit="1" customWidth="1"/>
    <col min="13864" max="13865" width="5" style="1" bestFit="1" customWidth="1"/>
    <col min="13866" max="13866" width="1.6328125" style="1" bestFit="1" customWidth="1"/>
    <col min="13867" max="13867" width="10.08984375" style="1" bestFit="1" customWidth="1"/>
    <col min="13868" max="13869" width="3.453125" style="1" bestFit="1" customWidth="1"/>
    <col min="13870" max="13870" width="7" style="1" bestFit="1" customWidth="1"/>
    <col min="13871" max="14080" width="9.08984375" style="1"/>
    <col min="14081" max="14081" width="1.6328125" style="1" bestFit="1" customWidth="1"/>
    <col min="14082" max="14082" width="0.90625" style="1" bestFit="1" customWidth="1"/>
    <col min="14083" max="14083" width="14.54296875" style="1" bestFit="1" customWidth="1"/>
    <col min="14084" max="14084" width="8.6328125" style="1" bestFit="1" customWidth="1"/>
    <col min="14085" max="14085" width="8.984375E-2" style="1" bestFit="1" customWidth="1"/>
    <col min="14086" max="14086" width="0.90625" style="1" bestFit="1" customWidth="1"/>
    <col min="14087" max="14087" width="2" style="1" bestFit="1" customWidth="1"/>
    <col min="14088" max="14091" width="2.90625" style="1" bestFit="1" customWidth="1"/>
    <col min="14092" max="14092" width="2.54296875" style="1" bestFit="1" customWidth="1"/>
    <col min="14093" max="14093" width="0.36328125" style="1" bestFit="1" customWidth="1"/>
    <col min="14094" max="14097" width="2.90625" style="1" bestFit="1" customWidth="1"/>
    <col min="14098" max="14098" width="0.90625" style="1" bestFit="1" customWidth="1"/>
    <col min="14099" max="14099" width="2" style="1" bestFit="1" customWidth="1"/>
    <col min="14100" max="14101" width="2.90625" style="1" bestFit="1" customWidth="1"/>
    <col min="14102" max="14102" width="0.6328125" style="1" bestFit="1" customWidth="1"/>
    <col min="14103" max="14103" width="2.08984375" style="1" bestFit="1" customWidth="1"/>
    <col min="14104" max="14104" width="1.08984375" style="1" bestFit="1" customWidth="1"/>
    <col min="14105" max="14106" width="1.6328125" style="1" bestFit="1" customWidth="1"/>
    <col min="14107" max="14107" width="1.08984375" style="1" bestFit="1" customWidth="1"/>
    <col min="14108" max="14112" width="2.90625" style="1" bestFit="1" customWidth="1"/>
    <col min="14113" max="14113" width="2.6328125" style="1" bestFit="1" customWidth="1"/>
    <col min="14114" max="14114" width="8.984375E-2" style="1" bestFit="1" customWidth="1"/>
    <col min="14115" max="14116" width="2.90625" style="1" bestFit="1" customWidth="1"/>
    <col min="14117" max="14117" width="1.08984375" style="1" bestFit="1" customWidth="1"/>
    <col min="14118" max="14119" width="1.6328125" style="1" bestFit="1" customWidth="1"/>
    <col min="14120" max="14121" width="5" style="1" bestFit="1" customWidth="1"/>
    <col min="14122" max="14122" width="1.6328125" style="1" bestFit="1" customWidth="1"/>
    <col min="14123" max="14123" width="10.08984375" style="1" bestFit="1" customWidth="1"/>
    <col min="14124" max="14125" width="3.453125" style="1" bestFit="1" customWidth="1"/>
    <col min="14126" max="14126" width="7" style="1" bestFit="1" customWidth="1"/>
    <col min="14127" max="14336" width="9.08984375" style="1"/>
    <col min="14337" max="14337" width="1.6328125" style="1" bestFit="1" customWidth="1"/>
    <col min="14338" max="14338" width="0.90625" style="1" bestFit="1" customWidth="1"/>
    <col min="14339" max="14339" width="14.54296875" style="1" bestFit="1" customWidth="1"/>
    <col min="14340" max="14340" width="8.6328125" style="1" bestFit="1" customWidth="1"/>
    <col min="14341" max="14341" width="8.984375E-2" style="1" bestFit="1" customWidth="1"/>
    <col min="14342" max="14342" width="0.90625" style="1" bestFit="1" customWidth="1"/>
    <col min="14343" max="14343" width="2" style="1" bestFit="1" customWidth="1"/>
    <col min="14344" max="14347" width="2.90625" style="1" bestFit="1" customWidth="1"/>
    <col min="14348" max="14348" width="2.54296875" style="1" bestFit="1" customWidth="1"/>
    <col min="14349" max="14349" width="0.36328125" style="1" bestFit="1" customWidth="1"/>
    <col min="14350" max="14353" width="2.90625" style="1" bestFit="1" customWidth="1"/>
    <col min="14354" max="14354" width="0.90625" style="1" bestFit="1" customWidth="1"/>
    <col min="14355" max="14355" width="2" style="1" bestFit="1" customWidth="1"/>
    <col min="14356" max="14357" width="2.90625" style="1" bestFit="1" customWidth="1"/>
    <col min="14358" max="14358" width="0.6328125" style="1" bestFit="1" customWidth="1"/>
    <col min="14359" max="14359" width="2.08984375" style="1" bestFit="1" customWidth="1"/>
    <col min="14360" max="14360" width="1.08984375" style="1" bestFit="1" customWidth="1"/>
    <col min="14361" max="14362" width="1.6328125" style="1" bestFit="1" customWidth="1"/>
    <col min="14363" max="14363" width="1.08984375" style="1" bestFit="1" customWidth="1"/>
    <col min="14364" max="14368" width="2.90625" style="1" bestFit="1" customWidth="1"/>
    <col min="14369" max="14369" width="2.6328125" style="1" bestFit="1" customWidth="1"/>
    <col min="14370" max="14370" width="8.984375E-2" style="1" bestFit="1" customWidth="1"/>
    <col min="14371" max="14372" width="2.90625" style="1" bestFit="1" customWidth="1"/>
    <col min="14373" max="14373" width="1.08984375" style="1" bestFit="1" customWidth="1"/>
    <col min="14374" max="14375" width="1.6328125" style="1" bestFit="1" customWidth="1"/>
    <col min="14376" max="14377" width="5" style="1" bestFit="1" customWidth="1"/>
    <col min="14378" max="14378" width="1.6328125" style="1" bestFit="1" customWidth="1"/>
    <col min="14379" max="14379" width="10.08984375" style="1" bestFit="1" customWidth="1"/>
    <col min="14380" max="14381" width="3.453125" style="1" bestFit="1" customWidth="1"/>
    <col min="14382" max="14382" width="7" style="1" bestFit="1" customWidth="1"/>
    <col min="14383" max="14592" width="9.08984375" style="1"/>
    <col min="14593" max="14593" width="1.6328125" style="1" bestFit="1" customWidth="1"/>
    <col min="14594" max="14594" width="0.90625" style="1" bestFit="1" customWidth="1"/>
    <col min="14595" max="14595" width="14.54296875" style="1" bestFit="1" customWidth="1"/>
    <col min="14596" max="14596" width="8.6328125" style="1" bestFit="1" customWidth="1"/>
    <col min="14597" max="14597" width="8.984375E-2" style="1" bestFit="1" customWidth="1"/>
    <col min="14598" max="14598" width="0.90625" style="1" bestFit="1" customWidth="1"/>
    <col min="14599" max="14599" width="2" style="1" bestFit="1" customWidth="1"/>
    <col min="14600" max="14603" width="2.90625" style="1" bestFit="1" customWidth="1"/>
    <col min="14604" max="14604" width="2.54296875" style="1" bestFit="1" customWidth="1"/>
    <col min="14605" max="14605" width="0.36328125" style="1" bestFit="1" customWidth="1"/>
    <col min="14606" max="14609" width="2.90625" style="1" bestFit="1" customWidth="1"/>
    <col min="14610" max="14610" width="0.90625" style="1" bestFit="1" customWidth="1"/>
    <col min="14611" max="14611" width="2" style="1" bestFit="1" customWidth="1"/>
    <col min="14612" max="14613" width="2.90625" style="1" bestFit="1" customWidth="1"/>
    <col min="14614" max="14614" width="0.6328125" style="1" bestFit="1" customWidth="1"/>
    <col min="14615" max="14615" width="2.08984375" style="1" bestFit="1" customWidth="1"/>
    <col min="14616" max="14616" width="1.08984375" style="1" bestFit="1" customWidth="1"/>
    <col min="14617" max="14618" width="1.6328125" style="1" bestFit="1" customWidth="1"/>
    <col min="14619" max="14619" width="1.08984375" style="1" bestFit="1" customWidth="1"/>
    <col min="14620" max="14624" width="2.90625" style="1" bestFit="1" customWidth="1"/>
    <col min="14625" max="14625" width="2.6328125" style="1" bestFit="1" customWidth="1"/>
    <col min="14626" max="14626" width="8.984375E-2" style="1" bestFit="1" customWidth="1"/>
    <col min="14627" max="14628" width="2.90625" style="1" bestFit="1" customWidth="1"/>
    <col min="14629" max="14629" width="1.08984375" style="1" bestFit="1" customWidth="1"/>
    <col min="14630" max="14631" width="1.6328125" style="1" bestFit="1" customWidth="1"/>
    <col min="14632" max="14633" width="5" style="1" bestFit="1" customWidth="1"/>
    <col min="14634" max="14634" width="1.6328125" style="1" bestFit="1" customWidth="1"/>
    <col min="14635" max="14635" width="10.08984375" style="1" bestFit="1" customWidth="1"/>
    <col min="14636" max="14637" width="3.453125" style="1" bestFit="1" customWidth="1"/>
    <col min="14638" max="14638" width="7" style="1" bestFit="1" customWidth="1"/>
    <col min="14639" max="14848" width="9.08984375" style="1"/>
    <col min="14849" max="14849" width="1.6328125" style="1" bestFit="1" customWidth="1"/>
    <col min="14850" max="14850" width="0.90625" style="1" bestFit="1" customWidth="1"/>
    <col min="14851" max="14851" width="14.54296875" style="1" bestFit="1" customWidth="1"/>
    <col min="14852" max="14852" width="8.6328125" style="1" bestFit="1" customWidth="1"/>
    <col min="14853" max="14853" width="8.984375E-2" style="1" bestFit="1" customWidth="1"/>
    <col min="14854" max="14854" width="0.90625" style="1" bestFit="1" customWidth="1"/>
    <col min="14855" max="14855" width="2" style="1" bestFit="1" customWidth="1"/>
    <col min="14856" max="14859" width="2.90625" style="1" bestFit="1" customWidth="1"/>
    <col min="14860" max="14860" width="2.54296875" style="1" bestFit="1" customWidth="1"/>
    <col min="14861" max="14861" width="0.36328125" style="1" bestFit="1" customWidth="1"/>
    <col min="14862" max="14865" width="2.90625" style="1" bestFit="1" customWidth="1"/>
    <col min="14866" max="14866" width="0.90625" style="1" bestFit="1" customWidth="1"/>
    <col min="14867" max="14867" width="2" style="1" bestFit="1" customWidth="1"/>
    <col min="14868" max="14869" width="2.90625" style="1" bestFit="1" customWidth="1"/>
    <col min="14870" max="14870" width="0.6328125" style="1" bestFit="1" customWidth="1"/>
    <col min="14871" max="14871" width="2.08984375" style="1" bestFit="1" customWidth="1"/>
    <col min="14872" max="14872" width="1.08984375" style="1" bestFit="1" customWidth="1"/>
    <col min="14873" max="14874" width="1.6328125" style="1" bestFit="1" customWidth="1"/>
    <col min="14875" max="14875" width="1.08984375" style="1" bestFit="1" customWidth="1"/>
    <col min="14876" max="14880" width="2.90625" style="1" bestFit="1" customWidth="1"/>
    <col min="14881" max="14881" width="2.6328125" style="1" bestFit="1" customWidth="1"/>
    <col min="14882" max="14882" width="8.984375E-2" style="1" bestFit="1" customWidth="1"/>
    <col min="14883" max="14884" width="2.90625" style="1" bestFit="1" customWidth="1"/>
    <col min="14885" max="14885" width="1.08984375" style="1" bestFit="1" customWidth="1"/>
    <col min="14886" max="14887" width="1.6328125" style="1" bestFit="1" customWidth="1"/>
    <col min="14888" max="14889" width="5" style="1" bestFit="1" customWidth="1"/>
    <col min="14890" max="14890" width="1.6328125" style="1" bestFit="1" customWidth="1"/>
    <col min="14891" max="14891" width="10.08984375" style="1" bestFit="1" customWidth="1"/>
    <col min="14892" max="14893" width="3.453125" style="1" bestFit="1" customWidth="1"/>
    <col min="14894" max="14894" width="7" style="1" bestFit="1" customWidth="1"/>
    <col min="14895" max="15104" width="9.08984375" style="1"/>
    <col min="15105" max="15105" width="1.6328125" style="1" bestFit="1" customWidth="1"/>
    <col min="15106" max="15106" width="0.90625" style="1" bestFit="1" customWidth="1"/>
    <col min="15107" max="15107" width="14.54296875" style="1" bestFit="1" customWidth="1"/>
    <col min="15108" max="15108" width="8.6328125" style="1" bestFit="1" customWidth="1"/>
    <col min="15109" max="15109" width="8.984375E-2" style="1" bestFit="1" customWidth="1"/>
    <col min="15110" max="15110" width="0.90625" style="1" bestFit="1" customWidth="1"/>
    <col min="15111" max="15111" width="2" style="1" bestFit="1" customWidth="1"/>
    <col min="15112" max="15115" width="2.90625" style="1" bestFit="1" customWidth="1"/>
    <col min="15116" max="15116" width="2.54296875" style="1" bestFit="1" customWidth="1"/>
    <col min="15117" max="15117" width="0.36328125" style="1" bestFit="1" customWidth="1"/>
    <col min="15118" max="15121" width="2.90625" style="1" bestFit="1" customWidth="1"/>
    <col min="15122" max="15122" width="0.90625" style="1" bestFit="1" customWidth="1"/>
    <col min="15123" max="15123" width="2" style="1" bestFit="1" customWidth="1"/>
    <col min="15124" max="15125" width="2.90625" style="1" bestFit="1" customWidth="1"/>
    <col min="15126" max="15126" width="0.6328125" style="1" bestFit="1" customWidth="1"/>
    <col min="15127" max="15127" width="2.08984375" style="1" bestFit="1" customWidth="1"/>
    <col min="15128" max="15128" width="1.08984375" style="1" bestFit="1" customWidth="1"/>
    <col min="15129" max="15130" width="1.6328125" style="1" bestFit="1" customWidth="1"/>
    <col min="15131" max="15131" width="1.08984375" style="1" bestFit="1" customWidth="1"/>
    <col min="15132" max="15136" width="2.90625" style="1" bestFit="1" customWidth="1"/>
    <col min="15137" max="15137" width="2.6328125" style="1" bestFit="1" customWidth="1"/>
    <col min="15138" max="15138" width="8.984375E-2" style="1" bestFit="1" customWidth="1"/>
    <col min="15139" max="15140" width="2.90625" style="1" bestFit="1" customWidth="1"/>
    <col min="15141" max="15141" width="1.08984375" style="1" bestFit="1" customWidth="1"/>
    <col min="15142" max="15143" width="1.6328125" style="1" bestFit="1" customWidth="1"/>
    <col min="15144" max="15145" width="5" style="1" bestFit="1" customWidth="1"/>
    <col min="15146" max="15146" width="1.6328125" style="1" bestFit="1" customWidth="1"/>
    <col min="15147" max="15147" width="10.08984375" style="1" bestFit="1" customWidth="1"/>
    <col min="15148" max="15149" width="3.453125" style="1" bestFit="1" customWidth="1"/>
    <col min="15150" max="15150" width="7" style="1" bestFit="1" customWidth="1"/>
    <col min="15151" max="15360" width="9.08984375" style="1"/>
    <col min="15361" max="15361" width="1.6328125" style="1" bestFit="1" customWidth="1"/>
    <col min="15362" max="15362" width="0.90625" style="1" bestFit="1" customWidth="1"/>
    <col min="15363" max="15363" width="14.54296875" style="1" bestFit="1" customWidth="1"/>
    <col min="15364" max="15364" width="8.6328125" style="1" bestFit="1" customWidth="1"/>
    <col min="15365" max="15365" width="8.984375E-2" style="1" bestFit="1" customWidth="1"/>
    <col min="15366" max="15366" width="0.90625" style="1" bestFit="1" customWidth="1"/>
    <col min="15367" max="15367" width="2" style="1" bestFit="1" customWidth="1"/>
    <col min="15368" max="15371" width="2.90625" style="1" bestFit="1" customWidth="1"/>
    <col min="15372" max="15372" width="2.54296875" style="1" bestFit="1" customWidth="1"/>
    <col min="15373" max="15373" width="0.36328125" style="1" bestFit="1" customWidth="1"/>
    <col min="15374" max="15377" width="2.90625" style="1" bestFit="1" customWidth="1"/>
    <col min="15378" max="15378" width="0.90625" style="1" bestFit="1" customWidth="1"/>
    <col min="15379" max="15379" width="2" style="1" bestFit="1" customWidth="1"/>
    <col min="15380" max="15381" width="2.90625" style="1" bestFit="1" customWidth="1"/>
    <col min="15382" max="15382" width="0.6328125" style="1" bestFit="1" customWidth="1"/>
    <col min="15383" max="15383" width="2.08984375" style="1" bestFit="1" customWidth="1"/>
    <col min="15384" max="15384" width="1.08984375" style="1" bestFit="1" customWidth="1"/>
    <col min="15385" max="15386" width="1.6328125" style="1" bestFit="1" customWidth="1"/>
    <col min="15387" max="15387" width="1.08984375" style="1" bestFit="1" customWidth="1"/>
    <col min="15388" max="15392" width="2.90625" style="1" bestFit="1" customWidth="1"/>
    <col min="15393" max="15393" width="2.6328125" style="1" bestFit="1" customWidth="1"/>
    <col min="15394" max="15394" width="8.984375E-2" style="1" bestFit="1" customWidth="1"/>
    <col min="15395" max="15396" width="2.90625" style="1" bestFit="1" customWidth="1"/>
    <col min="15397" max="15397" width="1.08984375" style="1" bestFit="1" customWidth="1"/>
    <col min="15398" max="15399" width="1.6328125" style="1" bestFit="1" customWidth="1"/>
    <col min="15400" max="15401" width="5" style="1" bestFit="1" customWidth="1"/>
    <col min="15402" max="15402" width="1.6328125" style="1" bestFit="1" customWidth="1"/>
    <col min="15403" max="15403" width="10.08984375" style="1" bestFit="1" customWidth="1"/>
    <col min="15404" max="15405" width="3.453125" style="1" bestFit="1" customWidth="1"/>
    <col min="15406" max="15406" width="7" style="1" bestFit="1" customWidth="1"/>
    <col min="15407" max="15616" width="9.08984375" style="1"/>
    <col min="15617" max="15617" width="1.6328125" style="1" bestFit="1" customWidth="1"/>
    <col min="15618" max="15618" width="0.90625" style="1" bestFit="1" customWidth="1"/>
    <col min="15619" max="15619" width="14.54296875" style="1" bestFit="1" customWidth="1"/>
    <col min="15620" max="15620" width="8.6328125" style="1" bestFit="1" customWidth="1"/>
    <col min="15621" max="15621" width="8.984375E-2" style="1" bestFit="1" customWidth="1"/>
    <col min="15622" max="15622" width="0.90625" style="1" bestFit="1" customWidth="1"/>
    <col min="15623" max="15623" width="2" style="1" bestFit="1" customWidth="1"/>
    <col min="15624" max="15627" width="2.90625" style="1" bestFit="1" customWidth="1"/>
    <col min="15628" max="15628" width="2.54296875" style="1" bestFit="1" customWidth="1"/>
    <col min="15629" max="15629" width="0.36328125" style="1" bestFit="1" customWidth="1"/>
    <col min="15630" max="15633" width="2.90625" style="1" bestFit="1" customWidth="1"/>
    <col min="15634" max="15634" width="0.90625" style="1" bestFit="1" customWidth="1"/>
    <col min="15635" max="15635" width="2" style="1" bestFit="1" customWidth="1"/>
    <col min="15636" max="15637" width="2.90625" style="1" bestFit="1" customWidth="1"/>
    <col min="15638" max="15638" width="0.6328125" style="1" bestFit="1" customWidth="1"/>
    <col min="15639" max="15639" width="2.08984375" style="1" bestFit="1" customWidth="1"/>
    <col min="15640" max="15640" width="1.08984375" style="1" bestFit="1" customWidth="1"/>
    <col min="15641" max="15642" width="1.6328125" style="1" bestFit="1" customWidth="1"/>
    <col min="15643" max="15643" width="1.08984375" style="1" bestFit="1" customWidth="1"/>
    <col min="15644" max="15648" width="2.90625" style="1" bestFit="1" customWidth="1"/>
    <col min="15649" max="15649" width="2.6328125" style="1" bestFit="1" customWidth="1"/>
    <col min="15650" max="15650" width="8.984375E-2" style="1" bestFit="1" customWidth="1"/>
    <col min="15651" max="15652" width="2.90625" style="1" bestFit="1" customWidth="1"/>
    <col min="15653" max="15653" width="1.08984375" style="1" bestFit="1" customWidth="1"/>
    <col min="15654" max="15655" width="1.6328125" style="1" bestFit="1" customWidth="1"/>
    <col min="15656" max="15657" width="5" style="1" bestFit="1" customWidth="1"/>
    <col min="15658" max="15658" width="1.6328125" style="1" bestFit="1" customWidth="1"/>
    <col min="15659" max="15659" width="10.08984375" style="1" bestFit="1" customWidth="1"/>
    <col min="15660" max="15661" width="3.453125" style="1" bestFit="1" customWidth="1"/>
    <col min="15662" max="15662" width="7" style="1" bestFit="1" customWidth="1"/>
    <col min="15663" max="15872" width="9.08984375" style="1"/>
    <col min="15873" max="15873" width="1.6328125" style="1" bestFit="1" customWidth="1"/>
    <col min="15874" max="15874" width="0.90625" style="1" bestFit="1" customWidth="1"/>
    <col min="15875" max="15875" width="14.54296875" style="1" bestFit="1" customWidth="1"/>
    <col min="15876" max="15876" width="8.6328125" style="1" bestFit="1" customWidth="1"/>
    <col min="15877" max="15877" width="8.984375E-2" style="1" bestFit="1" customWidth="1"/>
    <col min="15878" max="15878" width="0.90625" style="1" bestFit="1" customWidth="1"/>
    <col min="15879" max="15879" width="2" style="1" bestFit="1" customWidth="1"/>
    <col min="15880" max="15883" width="2.90625" style="1" bestFit="1" customWidth="1"/>
    <col min="15884" max="15884" width="2.54296875" style="1" bestFit="1" customWidth="1"/>
    <col min="15885" max="15885" width="0.36328125" style="1" bestFit="1" customWidth="1"/>
    <col min="15886" max="15889" width="2.90625" style="1" bestFit="1" customWidth="1"/>
    <col min="15890" max="15890" width="0.90625" style="1" bestFit="1" customWidth="1"/>
    <col min="15891" max="15891" width="2" style="1" bestFit="1" customWidth="1"/>
    <col min="15892" max="15893" width="2.90625" style="1" bestFit="1" customWidth="1"/>
    <col min="15894" max="15894" width="0.6328125" style="1" bestFit="1" customWidth="1"/>
    <col min="15895" max="15895" width="2.08984375" style="1" bestFit="1" customWidth="1"/>
    <col min="15896" max="15896" width="1.08984375" style="1" bestFit="1" customWidth="1"/>
    <col min="15897" max="15898" width="1.6328125" style="1" bestFit="1" customWidth="1"/>
    <col min="15899" max="15899" width="1.08984375" style="1" bestFit="1" customWidth="1"/>
    <col min="15900" max="15904" width="2.90625" style="1" bestFit="1" customWidth="1"/>
    <col min="15905" max="15905" width="2.6328125" style="1" bestFit="1" customWidth="1"/>
    <col min="15906" max="15906" width="8.984375E-2" style="1" bestFit="1" customWidth="1"/>
    <col min="15907" max="15908" width="2.90625" style="1" bestFit="1" customWidth="1"/>
    <col min="15909" max="15909" width="1.08984375" style="1" bestFit="1" customWidth="1"/>
    <col min="15910" max="15911" width="1.6328125" style="1" bestFit="1" customWidth="1"/>
    <col min="15912" max="15913" width="5" style="1" bestFit="1" customWidth="1"/>
    <col min="15914" max="15914" width="1.6328125" style="1" bestFit="1" customWidth="1"/>
    <col min="15915" max="15915" width="10.08984375" style="1" bestFit="1" customWidth="1"/>
    <col min="15916" max="15917" width="3.453125" style="1" bestFit="1" customWidth="1"/>
    <col min="15918" max="15918" width="7" style="1" bestFit="1" customWidth="1"/>
    <col min="15919" max="16128" width="9.08984375" style="1"/>
    <col min="16129" max="16129" width="1.6328125" style="1" bestFit="1" customWidth="1"/>
    <col min="16130" max="16130" width="0.90625" style="1" bestFit="1" customWidth="1"/>
    <col min="16131" max="16131" width="14.54296875" style="1" bestFit="1" customWidth="1"/>
    <col min="16132" max="16132" width="8.6328125" style="1" bestFit="1" customWidth="1"/>
    <col min="16133" max="16133" width="8.984375E-2" style="1" bestFit="1" customWidth="1"/>
    <col min="16134" max="16134" width="0.90625" style="1" bestFit="1" customWidth="1"/>
    <col min="16135" max="16135" width="2" style="1" bestFit="1" customWidth="1"/>
    <col min="16136" max="16139" width="2.90625" style="1" bestFit="1" customWidth="1"/>
    <col min="16140" max="16140" width="2.54296875" style="1" bestFit="1" customWidth="1"/>
    <col min="16141" max="16141" width="0.36328125" style="1" bestFit="1" customWidth="1"/>
    <col min="16142" max="16145" width="2.90625" style="1" bestFit="1" customWidth="1"/>
    <col min="16146" max="16146" width="0.90625" style="1" bestFit="1" customWidth="1"/>
    <col min="16147" max="16147" width="2" style="1" bestFit="1" customWidth="1"/>
    <col min="16148" max="16149" width="2.90625" style="1" bestFit="1" customWidth="1"/>
    <col min="16150" max="16150" width="0.6328125" style="1" bestFit="1" customWidth="1"/>
    <col min="16151" max="16151" width="2.08984375" style="1" bestFit="1" customWidth="1"/>
    <col min="16152" max="16152" width="1.08984375" style="1" bestFit="1" customWidth="1"/>
    <col min="16153" max="16154" width="1.6328125" style="1" bestFit="1" customWidth="1"/>
    <col min="16155" max="16155" width="1.08984375" style="1" bestFit="1" customWidth="1"/>
    <col min="16156" max="16160" width="2.90625" style="1" bestFit="1" customWidth="1"/>
    <col min="16161" max="16161" width="2.6328125" style="1" bestFit="1" customWidth="1"/>
    <col min="16162" max="16162" width="8.984375E-2" style="1" bestFit="1" customWidth="1"/>
    <col min="16163" max="16164" width="2.90625" style="1" bestFit="1" customWidth="1"/>
    <col min="16165" max="16165" width="1.08984375" style="1" bestFit="1" customWidth="1"/>
    <col min="16166" max="16167" width="1.6328125" style="1" bestFit="1" customWidth="1"/>
    <col min="16168" max="16169" width="5" style="1" bestFit="1" customWidth="1"/>
    <col min="16170" max="16170" width="1.6328125" style="1" bestFit="1" customWidth="1"/>
    <col min="16171" max="16171" width="10.08984375" style="1" bestFit="1" customWidth="1"/>
    <col min="16172" max="16173" width="3.453125" style="1" bestFit="1" customWidth="1"/>
    <col min="16174" max="16174" width="7" style="1" bestFit="1" customWidth="1"/>
    <col min="16175" max="16379" width="9.08984375" style="1"/>
    <col min="16380" max="16384" width="9.08984375" style="1" customWidth="1"/>
  </cols>
  <sheetData>
    <row r="1" spans="1:47" ht="25.5" customHeight="1">
      <c r="A1" s="243" t="s">
        <v>58</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row>
    <row r="2" spans="1:47" ht="6"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7" ht="13.5" customHeight="1">
      <c r="A3" s="241" t="s">
        <v>1</v>
      </c>
      <c r="B3" s="228"/>
      <c r="C3" s="228"/>
      <c r="D3" s="228"/>
      <c r="E3" s="228"/>
      <c r="F3" s="244"/>
      <c r="G3" s="244"/>
      <c r="H3" s="244"/>
      <c r="I3" s="244"/>
      <c r="J3" s="244"/>
      <c r="K3" s="244"/>
      <c r="L3" s="244"/>
      <c r="M3" s="244"/>
      <c r="N3" s="244"/>
      <c r="O3" s="244"/>
      <c r="P3" s="24"/>
      <c r="Q3" s="241" t="s">
        <v>0</v>
      </c>
      <c r="R3" s="241"/>
      <c r="S3" s="241"/>
      <c r="T3" s="245"/>
      <c r="U3" s="246"/>
      <c r="V3" s="246"/>
      <c r="W3" s="246"/>
      <c r="X3" s="246"/>
      <c r="Y3" s="247"/>
      <c r="Z3" s="241" t="s">
        <v>59</v>
      </c>
      <c r="AA3" s="241"/>
      <c r="AB3" s="241"/>
      <c r="AC3" s="245"/>
      <c r="AD3" s="246"/>
      <c r="AE3" s="246"/>
      <c r="AF3" s="246"/>
      <c r="AG3" s="246"/>
      <c r="AH3" s="247"/>
      <c r="AI3" s="270" t="s">
        <v>57</v>
      </c>
      <c r="AJ3" s="271"/>
      <c r="AK3" s="271"/>
      <c r="AL3" s="271"/>
      <c r="AM3" s="272"/>
      <c r="AN3" s="273"/>
      <c r="AO3" s="273"/>
      <c r="AP3" s="273"/>
      <c r="AQ3" s="274"/>
      <c r="AR3" s="19" t="s">
        <v>56</v>
      </c>
      <c r="AS3" s="267"/>
      <c r="AT3" s="269"/>
      <c r="AU3" s="3"/>
    </row>
    <row r="4" spans="1:47" ht="2.25" customHeight="1">
      <c r="A4" s="18"/>
      <c r="B4" s="17"/>
      <c r="C4" s="17"/>
      <c r="D4" s="17"/>
      <c r="E4" s="17"/>
      <c r="F4" s="28"/>
      <c r="G4" s="28"/>
      <c r="H4" s="28"/>
      <c r="I4" s="28"/>
      <c r="J4" s="28"/>
      <c r="K4" s="28"/>
      <c r="L4" s="28"/>
      <c r="M4" s="28"/>
      <c r="N4" s="28"/>
      <c r="O4" s="28"/>
      <c r="P4" s="24"/>
      <c r="Q4" s="24"/>
      <c r="R4" s="19"/>
      <c r="S4" s="19"/>
      <c r="T4" s="19"/>
      <c r="U4" s="10"/>
      <c r="V4" s="10"/>
      <c r="W4" s="10"/>
      <c r="X4" s="10"/>
      <c r="Y4" s="10"/>
      <c r="Z4" s="10"/>
      <c r="AA4" s="10"/>
      <c r="AB4" s="10"/>
      <c r="AC4" s="10"/>
      <c r="AD4" s="24"/>
      <c r="AE4" s="19"/>
      <c r="AF4" s="19"/>
      <c r="AG4" s="19"/>
      <c r="AH4" s="19"/>
      <c r="AI4" s="19"/>
      <c r="AJ4" s="29"/>
      <c r="AK4" s="29"/>
      <c r="AL4" s="29"/>
      <c r="AM4" s="29"/>
      <c r="AN4" s="29"/>
      <c r="AO4" s="9"/>
      <c r="AP4" s="20"/>
      <c r="AQ4" s="20"/>
      <c r="AR4" s="11"/>
      <c r="AS4" s="11"/>
      <c r="AT4" s="11"/>
      <c r="AU4" s="3"/>
    </row>
    <row r="5" spans="1:47" ht="14.25" customHeight="1">
      <c r="A5" s="17"/>
      <c r="B5" s="17"/>
      <c r="C5" s="17"/>
      <c r="D5" s="17"/>
      <c r="E5" s="25" t="s">
        <v>6</v>
      </c>
      <c r="F5" s="242"/>
      <c r="G5" s="242"/>
      <c r="H5" s="242"/>
      <c r="I5" s="242"/>
      <c r="J5" s="242"/>
      <c r="K5" s="242"/>
      <c r="L5" s="242"/>
      <c r="M5" s="242"/>
      <c r="N5" s="242"/>
      <c r="O5" s="242"/>
      <c r="P5" s="248" t="s">
        <v>5</v>
      </c>
      <c r="Q5" s="249"/>
      <c r="R5" s="249"/>
      <c r="S5" s="249"/>
      <c r="T5" s="267"/>
      <c r="U5" s="268"/>
      <c r="V5" s="268"/>
      <c r="W5" s="268"/>
      <c r="X5" s="268"/>
      <c r="Y5" s="269"/>
      <c r="Z5" s="275" t="s">
        <v>7</v>
      </c>
      <c r="AA5" s="275"/>
      <c r="AB5" s="275"/>
      <c r="AC5" s="275"/>
      <c r="AD5" s="275"/>
      <c r="AE5" s="272"/>
      <c r="AF5" s="274"/>
      <c r="AG5" s="26"/>
      <c r="AH5" s="26"/>
      <c r="AI5" s="24"/>
      <c r="AJ5" s="266" t="s">
        <v>8</v>
      </c>
      <c r="AK5" s="266"/>
      <c r="AL5" s="266"/>
      <c r="AM5" s="266"/>
      <c r="AN5" s="266"/>
      <c r="AO5" s="266"/>
      <c r="AP5" s="266"/>
      <c r="AQ5" s="276"/>
      <c r="AR5" s="276"/>
      <c r="AS5" s="276"/>
      <c r="AT5" s="276"/>
      <c r="AU5" s="3"/>
    </row>
    <row r="6" spans="1:47" ht="2.25" customHeight="1">
      <c r="A6" s="12"/>
      <c r="B6" s="17"/>
      <c r="C6" s="17"/>
      <c r="D6" s="17"/>
      <c r="E6" s="25"/>
      <c r="F6" s="26"/>
      <c r="G6" s="26"/>
      <c r="H6" s="26"/>
      <c r="I6" s="26"/>
      <c r="J6" s="26"/>
      <c r="K6" s="26"/>
      <c r="L6" s="12"/>
      <c r="M6" s="12"/>
      <c r="N6" s="12"/>
      <c r="O6" s="12"/>
      <c r="P6" s="12"/>
      <c r="Q6" s="12"/>
      <c r="R6" s="7"/>
      <c r="S6" s="7"/>
      <c r="T6" s="7"/>
      <c r="U6" s="7"/>
      <c r="V6" s="7"/>
      <c r="W6" s="7"/>
      <c r="X6" s="9"/>
      <c r="Y6" s="27"/>
      <c r="Z6" s="30"/>
      <c r="AA6" s="30"/>
      <c r="AB6" s="30"/>
      <c r="AC6" s="24"/>
      <c r="AD6" s="24"/>
      <c r="AE6" s="24"/>
      <c r="AF6" s="24"/>
      <c r="AG6" s="24"/>
      <c r="AH6" s="24"/>
      <c r="AI6" s="24"/>
      <c r="AJ6" s="24"/>
      <c r="AK6" s="24"/>
      <c r="AL6" s="24"/>
      <c r="AM6" s="24"/>
      <c r="AN6" s="24"/>
      <c r="AO6" s="12"/>
      <c r="AP6" s="12"/>
      <c r="AQ6" s="7"/>
      <c r="AR6" s="24"/>
      <c r="AS6" s="24"/>
      <c r="AT6" s="24"/>
    </row>
    <row r="7" spans="1:47" ht="12.75" customHeight="1">
      <c r="A7" s="17"/>
      <c r="B7" s="17"/>
      <c r="C7" s="17"/>
      <c r="D7" s="17"/>
      <c r="E7" s="25" t="s">
        <v>4</v>
      </c>
      <c r="F7" s="267"/>
      <c r="G7" s="268"/>
      <c r="H7" s="268"/>
      <c r="I7" s="268"/>
      <c r="J7" s="268"/>
      <c r="K7" s="268"/>
      <c r="L7" s="268"/>
      <c r="M7" s="269"/>
      <c r="N7" s="266" t="s">
        <v>9</v>
      </c>
      <c r="O7" s="266"/>
      <c r="P7" s="266"/>
      <c r="Q7" s="266"/>
      <c r="R7" s="266"/>
      <c r="S7" s="266"/>
      <c r="T7" s="266"/>
      <c r="U7" s="267"/>
      <c r="V7" s="268"/>
      <c r="W7" s="268"/>
      <c r="X7" s="268"/>
      <c r="Y7" s="268"/>
      <c r="Z7" s="268"/>
      <c r="AA7" s="268"/>
      <c r="AB7" s="268"/>
      <c r="AC7" s="268"/>
      <c r="AD7" s="268"/>
      <c r="AE7" s="268"/>
      <c r="AF7" s="268"/>
      <c r="AG7" s="268"/>
      <c r="AH7" s="268"/>
      <c r="AI7" s="268"/>
      <c r="AJ7" s="268"/>
      <c r="AK7" s="269"/>
      <c r="AL7" s="24"/>
      <c r="AM7" s="24"/>
      <c r="AN7" s="277" t="s">
        <v>10</v>
      </c>
      <c r="AO7" s="277"/>
      <c r="AP7" s="277"/>
      <c r="AQ7" s="245"/>
      <c r="AR7" s="246"/>
      <c r="AS7" s="246"/>
      <c r="AT7" s="247"/>
    </row>
    <row r="8" spans="1:47" ht="3.75" customHeight="1" thickBot="1">
      <c r="A8" s="4"/>
      <c r="F8" s="5"/>
      <c r="G8" s="5"/>
      <c r="H8" s="5"/>
      <c r="I8" s="5"/>
      <c r="J8" s="5"/>
      <c r="K8" s="5"/>
      <c r="L8" s="4"/>
      <c r="M8" s="4"/>
      <c r="N8" s="4"/>
      <c r="O8" s="4"/>
      <c r="P8" s="4"/>
      <c r="Q8" s="4"/>
      <c r="R8" s="3"/>
      <c r="S8" s="3"/>
      <c r="T8" s="3"/>
      <c r="U8" s="3"/>
      <c r="V8" s="3"/>
      <c r="W8" s="3"/>
      <c r="X8" s="6"/>
      <c r="Y8" s="6"/>
      <c r="Z8" s="3"/>
      <c r="AA8" s="3"/>
      <c r="AB8" s="3"/>
    </row>
    <row r="9" spans="1:47" ht="9.9" customHeight="1" thickBot="1">
      <c r="A9" s="219" t="s">
        <v>11</v>
      </c>
      <c r="B9" s="220"/>
      <c r="C9" s="225" t="s">
        <v>74</v>
      </c>
      <c r="D9" s="226"/>
      <c r="E9" s="226"/>
      <c r="F9" s="232" t="s">
        <v>60</v>
      </c>
      <c r="G9" s="233"/>
      <c r="H9" s="233"/>
      <c r="I9" s="233"/>
      <c r="J9" s="233"/>
      <c r="K9" s="233"/>
      <c r="L9" s="233"/>
      <c r="M9" s="233"/>
      <c r="N9" s="233"/>
      <c r="O9" s="233"/>
      <c r="P9" s="233"/>
      <c r="Q9" s="233"/>
      <c r="R9" s="233"/>
      <c r="S9" s="233"/>
      <c r="T9" s="233"/>
      <c r="U9" s="233"/>
      <c r="V9" s="233"/>
      <c r="W9" s="233"/>
      <c r="X9" s="233"/>
      <c r="Y9" s="233"/>
      <c r="Z9" s="233"/>
      <c r="AA9" s="233"/>
      <c r="AB9" s="233"/>
      <c r="AC9" s="233"/>
      <c r="AD9" s="233"/>
      <c r="AE9" s="233"/>
      <c r="AF9" s="233"/>
      <c r="AG9" s="233"/>
      <c r="AH9" s="233"/>
      <c r="AI9" s="233"/>
      <c r="AJ9" s="233"/>
      <c r="AK9" s="233"/>
      <c r="AL9" s="233"/>
      <c r="AM9" s="250" t="s">
        <v>12</v>
      </c>
      <c r="AN9" s="250"/>
      <c r="AO9" s="250"/>
      <c r="AP9" s="251"/>
      <c r="AQ9" s="254" t="s">
        <v>76</v>
      </c>
      <c r="AR9" s="254"/>
      <c r="AS9" s="254"/>
      <c r="AT9" s="255"/>
    </row>
    <row r="10" spans="1:47" ht="15" customHeight="1" thickBot="1">
      <c r="A10" s="221"/>
      <c r="B10" s="222"/>
      <c r="C10" s="227"/>
      <c r="D10" s="228"/>
      <c r="E10" s="229"/>
      <c r="F10" s="287"/>
      <c r="G10" s="288"/>
      <c r="H10" s="289"/>
      <c r="I10" s="289"/>
      <c r="J10" s="289"/>
      <c r="K10" s="289"/>
      <c r="L10" s="287"/>
      <c r="M10" s="288"/>
      <c r="N10" s="289"/>
      <c r="O10" s="289"/>
      <c r="P10" s="289"/>
      <c r="Q10" s="289"/>
      <c r="R10" s="287"/>
      <c r="S10" s="288"/>
      <c r="T10" s="289"/>
      <c r="U10" s="289"/>
      <c r="V10" s="290"/>
      <c r="W10" s="288"/>
      <c r="X10" s="290"/>
      <c r="Y10" s="288"/>
      <c r="Z10" s="287"/>
      <c r="AA10" s="288"/>
      <c r="AB10" s="289"/>
      <c r="AC10" s="289"/>
      <c r="AD10" s="289"/>
      <c r="AE10" s="289"/>
      <c r="AF10" s="291"/>
      <c r="AG10" s="292"/>
      <c r="AH10" s="292"/>
      <c r="AI10" s="293"/>
      <c r="AJ10" s="293"/>
      <c r="AK10" s="292"/>
      <c r="AL10" s="294"/>
      <c r="AM10" s="252"/>
      <c r="AN10" s="252"/>
      <c r="AO10" s="252"/>
      <c r="AP10" s="253"/>
      <c r="AQ10" s="256"/>
      <c r="AR10" s="257"/>
      <c r="AS10" s="257"/>
      <c r="AT10" s="258"/>
    </row>
    <row r="11" spans="1:47" ht="15" customHeight="1" thickBot="1">
      <c r="A11" s="223"/>
      <c r="B11" s="224"/>
      <c r="C11" s="230"/>
      <c r="D11" s="231"/>
      <c r="E11" s="231"/>
      <c r="F11" s="261" t="s">
        <v>13</v>
      </c>
      <c r="G11" s="262"/>
      <c r="H11" s="44" t="s">
        <v>14</v>
      </c>
      <c r="I11" s="44" t="s">
        <v>15</v>
      </c>
      <c r="J11" s="44" t="s">
        <v>16</v>
      </c>
      <c r="K11" s="44" t="s">
        <v>17</v>
      </c>
      <c r="L11" s="263" t="s">
        <v>13</v>
      </c>
      <c r="M11" s="262"/>
      <c r="N11" s="44" t="s">
        <v>14</v>
      </c>
      <c r="O11" s="44" t="s">
        <v>15</v>
      </c>
      <c r="P11" s="44" t="s">
        <v>16</v>
      </c>
      <c r="Q11" s="44" t="s">
        <v>17</v>
      </c>
      <c r="R11" s="263" t="s">
        <v>13</v>
      </c>
      <c r="S11" s="262"/>
      <c r="T11" s="44" t="s">
        <v>14</v>
      </c>
      <c r="U11" s="44" t="s">
        <v>15</v>
      </c>
      <c r="V11" s="264" t="s">
        <v>16</v>
      </c>
      <c r="W11" s="262"/>
      <c r="X11" s="264" t="s">
        <v>17</v>
      </c>
      <c r="Y11" s="262"/>
      <c r="Z11" s="263" t="s">
        <v>13</v>
      </c>
      <c r="AA11" s="262"/>
      <c r="AB11" s="44" t="s">
        <v>14</v>
      </c>
      <c r="AC11" s="44" t="s">
        <v>15</v>
      </c>
      <c r="AD11" s="44" t="s">
        <v>16</v>
      </c>
      <c r="AE11" s="44" t="s">
        <v>17</v>
      </c>
      <c r="AF11" s="45" t="s">
        <v>13</v>
      </c>
      <c r="AG11" s="209" t="s">
        <v>14</v>
      </c>
      <c r="AH11" s="265"/>
      <c r="AI11" s="46" t="s">
        <v>15</v>
      </c>
      <c r="AJ11" s="46" t="s">
        <v>16</v>
      </c>
      <c r="AK11" s="209" t="s">
        <v>17</v>
      </c>
      <c r="AL11" s="210"/>
      <c r="AM11" s="211" t="s">
        <v>18</v>
      </c>
      <c r="AN11" s="212"/>
      <c r="AO11" s="213" t="s">
        <v>19</v>
      </c>
      <c r="AP11" s="214"/>
      <c r="AQ11" s="259"/>
      <c r="AR11" s="259"/>
      <c r="AS11" s="259"/>
      <c r="AT11" s="260"/>
    </row>
    <row r="12" spans="1:47" ht="20.149999999999999" customHeight="1">
      <c r="A12" s="234">
        <v>1</v>
      </c>
      <c r="B12" s="235"/>
      <c r="C12" s="236"/>
      <c r="D12" s="237"/>
      <c r="E12" s="237"/>
      <c r="F12" s="238"/>
      <c r="G12" s="239"/>
      <c r="H12" s="63"/>
      <c r="I12" s="63"/>
      <c r="J12" s="63"/>
      <c r="K12" s="64"/>
      <c r="L12" s="188"/>
      <c r="M12" s="180"/>
      <c r="N12" s="65"/>
      <c r="O12" s="65"/>
      <c r="P12" s="65"/>
      <c r="Q12" s="66"/>
      <c r="R12" s="238"/>
      <c r="S12" s="239"/>
      <c r="T12" s="63"/>
      <c r="U12" s="63"/>
      <c r="V12" s="239"/>
      <c r="W12" s="239"/>
      <c r="X12" s="239"/>
      <c r="Y12" s="240"/>
      <c r="Z12" s="188"/>
      <c r="AA12" s="180"/>
      <c r="AB12" s="65"/>
      <c r="AC12" s="65"/>
      <c r="AD12" s="65"/>
      <c r="AE12" s="66"/>
      <c r="AF12" s="67"/>
      <c r="AG12" s="239"/>
      <c r="AH12" s="239"/>
      <c r="AI12" s="63"/>
      <c r="AJ12" s="63"/>
      <c r="AK12" s="239"/>
      <c r="AL12" s="240"/>
      <c r="AM12" s="206" cm="1">
        <f t="array" ref="AM12">SUM(COUNTIFS(F12, {"X","/\"}, F$10, "&lt;&gt;"), COUNTIFS(H12:L12, {"X","/\"}, H$10:L$10, "&lt;&gt;"), COUNTIFS(N12:R12, {"X","/\"}, N$10:R$10, "&lt;&gt;"), COUNTIFS(T12:U12, {"X","/\"}, T$10:U$10, "&lt;&gt;"), COUNTIFS(W12:X12, {"X","/\"}, W$10:X$10, "&lt;&gt;"), COUNTIFS(Z12, {"X","/\"}, Z$10, "&lt;&gt;"), COUNTIFS(AB12:AG12, {"X","/\"}, AB$10:AG$10, "&lt;&gt;"), COUNTIFS(AI12:AK12, {"X","/\"}, AI$10:AK$10, "&lt;&gt;"))</f>
        <v>0</v>
      </c>
      <c r="AN12" s="207"/>
      <c r="AO12" s="183" cm="1">
        <f t="array" ref="AO12">SUM(COUNTIFS(F12, {"","/","\"}, F$10, "&lt;&gt;"), COUNTIFS(H12:L12, {"","/","\"}, H$10:L$10, "&lt;&gt;"), COUNTIFS(N12:R12, {"","/","\"}, N$10:R$10, "&lt;&gt;"), COUNTIFS(T12:V12, {"","/","\"}, T$10:V$10, "&lt;&gt;"), COUNTIFS(X12, {"","/","\"}, X$10, "&lt;&gt;"), COUNTIFS(Z12, {"","/","\"}, Z$10, "&lt;&gt;"), COUNTIFS(AB12:AG12, {"","/","\"}, AB$10:AG$10, "&lt;&gt;"), COUNTIFS(AI12:AK12, {"","/","\"}, AI$10:AK$10, "&lt;&gt;"))</f>
        <v>0</v>
      </c>
      <c r="AP12" s="183"/>
      <c r="AQ12" s="208" t="s">
        <v>2</v>
      </c>
      <c r="AR12" s="206"/>
      <c r="AS12" s="206"/>
      <c r="AT12" s="207"/>
    </row>
    <row r="13" spans="1:47" ht="20.149999999999999" customHeight="1">
      <c r="A13" s="215">
        <v>2</v>
      </c>
      <c r="B13" s="216"/>
      <c r="C13" s="217"/>
      <c r="D13" s="218"/>
      <c r="E13" s="171"/>
      <c r="F13" s="179"/>
      <c r="G13" s="167"/>
      <c r="H13" s="68"/>
      <c r="I13" s="68"/>
      <c r="J13" s="68"/>
      <c r="K13" s="69"/>
      <c r="L13" s="174"/>
      <c r="M13" s="205"/>
      <c r="N13" s="70"/>
      <c r="O13" s="70"/>
      <c r="P13" s="70"/>
      <c r="Q13" s="71"/>
      <c r="R13" s="179"/>
      <c r="S13" s="167"/>
      <c r="T13" s="68"/>
      <c r="U13" s="68"/>
      <c r="V13" s="167"/>
      <c r="W13" s="167"/>
      <c r="X13" s="167"/>
      <c r="Y13" s="168"/>
      <c r="Z13" s="174"/>
      <c r="AA13" s="205"/>
      <c r="AB13" s="70"/>
      <c r="AC13" s="70"/>
      <c r="AD13" s="70"/>
      <c r="AE13" s="71"/>
      <c r="AF13" s="72"/>
      <c r="AG13" s="167"/>
      <c r="AH13" s="167"/>
      <c r="AI13" s="68"/>
      <c r="AJ13" s="68"/>
      <c r="AK13" s="167"/>
      <c r="AL13" s="168"/>
      <c r="AM13" s="169" cm="1">
        <f t="array" ref="AM13">SUM(COUNTIFS(F13, {"X","/\"}, F$10, "&lt;&gt;"), COUNTIFS(H13:L13, {"X","/\"}, H$10:L$10, "&lt;&gt;"), COUNTIFS(N13:R13, {"X","/\"}, N$10:R$10, "&lt;&gt;"), COUNTIFS(T13:U13, {"X","/\"}, T$10:U$10, "&lt;&gt;"), COUNTIFS(W13:X13, {"X","/\"}, W$10:X$10, "&lt;&gt;"), COUNTIFS(Z13, {"X","/\"}, Z$10, "&lt;&gt;"), COUNTIFS(AB13:AG13, {"X","/\"}, AB$10:AG$10, "&lt;&gt;"), COUNTIFS(AI13:AK13, {"X","/\"}, AI$10:AK$10, "&lt;&gt;"))</f>
        <v>0</v>
      </c>
      <c r="AN13" s="157"/>
      <c r="AO13" s="155" cm="1">
        <f t="array" ref="AO13">SUM(COUNTIFS(F13, {"","/","\"}, F$10, "&lt;&gt;"), COUNTIFS(H13:L13, {"","/","\"}, H$10:L$10, "&lt;&gt;"), COUNTIFS(N13:R13, {"","/","\"}, N$10:R$10, "&lt;&gt;"), COUNTIFS(T13:V13, {"","/","\"}, T$10:V$10, "&lt;&gt;"), COUNTIFS(X13, {"","/","\"}, X$10, "&lt;&gt;"), COUNTIFS(Z13, {"","/","\"}, Z$10, "&lt;&gt;"), COUNTIFS(AB13:AG13, {"","/","\"}, AB$10:AG$10, "&lt;&gt;"), COUNTIFS(AI13:AK13, {"","/","\"}, AI$10:AK$10, "&lt;&gt;"))</f>
        <v>0</v>
      </c>
      <c r="AP13" s="155"/>
      <c r="AQ13" s="169" t="s">
        <v>2</v>
      </c>
      <c r="AR13" s="155"/>
      <c r="AS13" s="155"/>
      <c r="AT13" s="157"/>
    </row>
    <row r="14" spans="1:47" ht="20.149999999999999" customHeight="1">
      <c r="A14" s="158">
        <v>3</v>
      </c>
      <c r="B14" s="159"/>
      <c r="C14" s="170"/>
      <c r="D14" s="171"/>
      <c r="E14" s="171"/>
      <c r="F14" s="179"/>
      <c r="G14" s="167"/>
      <c r="H14" s="68"/>
      <c r="I14" s="68"/>
      <c r="J14" s="68"/>
      <c r="K14" s="69"/>
      <c r="L14" s="174"/>
      <c r="M14" s="167"/>
      <c r="N14" s="68"/>
      <c r="O14" s="68"/>
      <c r="P14" s="68"/>
      <c r="Q14" s="71"/>
      <c r="R14" s="179"/>
      <c r="S14" s="167"/>
      <c r="T14" s="68"/>
      <c r="U14" s="68"/>
      <c r="V14" s="167"/>
      <c r="W14" s="167"/>
      <c r="X14" s="167"/>
      <c r="Y14" s="168"/>
      <c r="Z14" s="174"/>
      <c r="AA14" s="167"/>
      <c r="AB14" s="68"/>
      <c r="AC14" s="68"/>
      <c r="AD14" s="68"/>
      <c r="AE14" s="71"/>
      <c r="AF14" s="72"/>
      <c r="AG14" s="167"/>
      <c r="AH14" s="167"/>
      <c r="AI14" s="68"/>
      <c r="AJ14" s="68"/>
      <c r="AK14" s="167"/>
      <c r="AL14" s="168"/>
      <c r="AM14" s="169" cm="1">
        <f t="array" ref="AM14">SUM(COUNTIFS(F14, {"X","/\"}, F$10, "&lt;&gt;"), COUNTIFS(H14:L14, {"X","/\"}, H$10:L$10, "&lt;&gt;"), COUNTIFS(N14:R14, {"X","/\"}, N$10:R$10, "&lt;&gt;"), COUNTIFS(T14:U14, {"X","/\"}, T$10:U$10, "&lt;&gt;"), COUNTIFS(W14:X14, {"X","/\"}, W$10:X$10, "&lt;&gt;"), COUNTIFS(Z14, {"X","/\"}, Z$10, "&lt;&gt;"), COUNTIFS(AB14:AG14, {"X","/\"}, AB$10:AG$10, "&lt;&gt;"), COUNTIFS(AI14:AK14, {"X","/\"}, AI$10:AK$10, "&lt;&gt;"))</f>
        <v>0</v>
      </c>
      <c r="AN14" s="157"/>
      <c r="AO14" s="155" cm="1">
        <f t="array" ref="AO14">SUM(COUNTIFS(F14, {"","/","\"}, F$10, "&lt;&gt;"), COUNTIFS(H14:L14, {"","/","\"}, H$10:L$10, "&lt;&gt;"), COUNTIFS(N14:R14, {"","/","\"}, N$10:R$10, "&lt;&gt;"), COUNTIFS(T14:V14, {"","/","\"}, T$10:V$10, "&lt;&gt;"), COUNTIFS(X14, {"","/","\"}, X$10, "&lt;&gt;"), COUNTIFS(Z14, {"","/","\"}, Z$10, "&lt;&gt;"), COUNTIFS(AB14:AG14, {"","/","\"}, AB$10:AG$10, "&lt;&gt;"), COUNTIFS(AI14:AK14, {"","/","\"}, AI$10:AK$10, "&lt;&gt;"))</f>
        <v>0</v>
      </c>
      <c r="AP14" s="155"/>
      <c r="AQ14" s="169" t="s">
        <v>2</v>
      </c>
      <c r="AR14" s="155"/>
      <c r="AS14" s="155"/>
      <c r="AT14" s="157"/>
    </row>
    <row r="15" spans="1:47" ht="20.149999999999999" customHeight="1">
      <c r="A15" s="158">
        <v>4</v>
      </c>
      <c r="B15" s="159"/>
      <c r="C15" s="170"/>
      <c r="D15" s="171"/>
      <c r="E15" s="171"/>
      <c r="F15" s="179"/>
      <c r="G15" s="167"/>
      <c r="H15" s="68"/>
      <c r="I15" s="68"/>
      <c r="J15" s="68"/>
      <c r="K15" s="69"/>
      <c r="L15" s="174"/>
      <c r="M15" s="167"/>
      <c r="N15" s="68"/>
      <c r="O15" s="68"/>
      <c r="P15" s="68"/>
      <c r="Q15" s="71"/>
      <c r="R15" s="179"/>
      <c r="S15" s="167"/>
      <c r="T15" s="68"/>
      <c r="U15" s="68"/>
      <c r="V15" s="167"/>
      <c r="W15" s="167"/>
      <c r="X15" s="167"/>
      <c r="Y15" s="168"/>
      <c r="Z15" s="174"/>
      <c r="AA15" s="167"/>
      <c r="AB15" s="68"/>
      <c r="AC15" s="68"/>
      <c r="AD15" s="68"/>
      <c r="AE15" s="71"/>
      <c r="AF15" s="72"/>
      <c r="AG15" s="167"/>
      <c r="AH15" s="167"/>
      <c r="AI15" s="68"/>
      <c r="AJ15" s="68"/>
      <c r="AK15" s="167"/>
      <c r="AL15" s="168"/>
      <c r="AM15" s="169" cm="1">
        <f t="array" ref="AM15">SUM(COUNTIFS(F15, {"X","/\"}, F$10, "&lt;&gt;"), COUNTIFS(H15:L15, {"X","/\"}, H$10:L$10, "&lt;&gt;"), COUNTIFS(N15:R15, {"X","/\"}, N$10:R$10, "&lt;&gt;"), COUNTIFS(T15:U15, {"X","/\"}, T$10:U$10, "&lt;&gt;"), COUNTIFS(W15:X15, {"X","/\"}, W$10:X$10, "&lt;&gt;"), COUNTIFS(Z15, {"X","/\"}, Z$10, "&lt;&gt;"), COUNTIFS(AB15:AG15, {"X","/\"}, AB$10:AG$10, "&lt;&gt;"), COUNTIFS(AI15:AK15, {"X","/\"}, AI$10:AK$10, "&lt;&gt;"))</f>
        <v>0</v>
      </c>
      <c r="AN15" s="157"/>
      <c r="AO15" s="155" cm="1">
        <f t="array" ref="AO15">SUM(COUNTIFS(F15, {"","/","\"}, F$10, "&lt;&gt;"), COUNTIFS(H15:L15, {"","/","\"}, H$10:L$10, "&lt;&gt;"), COUNTIFS(N15:R15, {"","/","\"}, N$10:R$10, "&lt;&gt;"), COUNTIFS(T15:V15, {"","/","\"}, T$10:V$10, "&lt;&gt;"), COUNTIFS(X15, {"","/","\"}, X$10, "&lt;&gt;"), COUNTIFS(Z15, {"","/","\"}, Z$10, "&lt;&gt;"), COUNTIFS(AB15:AG15, {"","/","\"}, AB$10:AG$10, "&lt;&gt;"), COUNTIFS(AI15:AK15, {"","/","\"}, AI$10:AK$10, "&lt;&gt;"))</f>
        <v>0</v>
      </c>
      <c r="AP15" s="155"/>
      <c r="AQ15" s="169" t="s">
        <v>2</v>
      </c>
      <c r="AR15" s="155"/>
      <c r="AS15" s="155"/>
      <c r="AT15" s="157"/>
    </row>
    <row r="16" spans="1:47" ht="20.149999999999999" customHeight="1">
      <c r="A16" s="158">
        <v>5</v>
      </c>
      <c r="B16" s="159"/>
      <c r="C16" s="170"/>
      <c r="D16" s="171"/>
      <c r="E16" s="171"/>
      <c r="F16" s="179"/>
      <c r="G16" s="167"/>
      <c r="H16" s="68"/>
      <c r="I16" s="68"/>
      <c r="J16" s="68"/>
      <c r="K16" s="69"/>
      <c r="L16" s="174"/>
      <c r="M16" s="167"/>
      <c r="N16" s="68"/>
      <c r="O16" s="68"/>
      <c r="P16" s="68"/>
      <c r="Q16" s="71"/>
      <c r="R16" s="179"/>
      <c r="S16" s="167"/>
      <c r="T16" s="68"/>
      <c r="U16" s="68"/>
      <c r="V16" s="167"/>
      <c r="W16" s="167"/>
      <c r="X16" s="167"/>
      <c r="Y16" s="168"/>
      <c r="Z16" s="174"/>
      <c r="AA16" s="167"/>
      <c r="AB16" s="68"/>
      <c r="AC16" s="68"/>
      <c r="AD16" s="68"/>
      <c r="AE16" s="71"/>
      <c r="AF16" s="72"/>
      <c r="AG16" s="167"/>
      <c r="AH16" s="167"/>
      <c r="AI16" s="68"/>
      <c r="AJ16" s="68"/>
      <c r="AK16" s="167"/>
      <c r="AL16" s="168"/>
      <c r="AM16" s="169" cm="1">
        <f t="array" ref="AM16">SUM(COUNTIFS(F16, {"X","/\"}, F$10, "&lt;&gt;"), COUNTIFS(H16:L16, {"X","/\"}, H$10:L$10, "&lt;&gt;"), COUNTIFS(N16:R16, {"X","/\"}, N$10:R$10, "&lt;&gt;"), COUNTIFS(T16:U16, {"X","/\"}, T$10:U$10, "&lt;&gt;"), COUNTIFS(W16:X16, {"X","/\"}, W$10:X$10, "&lt;&gt;"), COUNTIFS(Z16, {"X","/\"}, Z$10, "&lt;&gt;"), COUNTIFS(AB16:AG16, {"X","/\"}, AB$10:AG$10, "&lt;&gt;"), COUNTIFS(AI16:AK16, {"X","/\"}, AI$10:AK$10, "&lt;&gt;"))</f>
        <v>0</v>
      </c>
      <c r="AN16" s="157"/>
      <c r="AO16" s="155" cm="1">
        <f t="array" ref="AO16">SUM(COUNTIFS(F16, {"","/","\"}, F$10, "&lt;&gt;"), COUNTIFS(H16:L16, {"","/","\"}, H$10:L$10, "&lt;&gt;"), COUNTIFS(N16:R16, {"","/","\"}, N$10:R$10, "&lt;&gt;"), COUNTIFS(T16:V16, {"","/","\"}, T$10:V$10, "&lt;&gt;"), COUNTIFS(X16, {"","/","\"}, X$10, "&lt;&gt;"), COUNTIFS(Z16, {"","/","\"}, Z$10, "&lt;&gt;"), COUNTIFS(AB16:AG16, {"","/","\"}, AB$10:AG$10, "&lt;&gt;"), COUNTIFS(AI16:AK16, {"","/","\"}, AI$10:AK$10, "&lt;&gt;"))</f>
        <v>0</v>
      </c>
      <c r="AP16" s="155"/>
      <c r="AQ16" s="169" t="s">
        <v>2</v>
      </c>
      <c r="AR16" s="155"/>
      <c r="AS16" s="155"/>
      <c r="AT16" s="157"/>
    </row>
    <row r="17" spans="1:46" ht="20.149999999999999" customHeight="1">
      <c r="A17" s="158">
        <v>6</v>
      </c>
      <c r="B17" s="159"/>
      <c r="C17" s="170"/>
      <c r="D17" s="171"/>
      <c r="E17" s="171"/>
      <c r="F17" s="179"/>
      <c r="G17" s="167"/>
      <c r="H17" s="68"/>
      <c r="I17" s="68"/>
      <c r="J17" s="68"/>
      <c r="K17" s="69"/>
      <c r="L17" s="174"/>
      <c r="M17" s="167"/>
      <c r="N17" s="68"/>
      <c r="O17" s="68"/>
      <c r="P17" s="68"/>
      <c r="Q17" s="71"/>
      <c r="R17" s="179"/>
      <c r="S17" s="167"/>
      <c r="T17" s="68"/>
      <c r="U17" s="68"/>
      <c r="V17" s="167"/>
      <c r="W17" s="167"/>
      <c r="X17" s="167"/>
      <c r="Y17" s="168"/>
      <c r="Z17" s="174"/>
      <c r="AA17" s="167"/>
      <c r="AB17" s="68"/>
      <c r="AC17" s="68"/>
      <c r="AD17" s="68"/>
      <c r="AE17" s="71"/>
      <c r="AF17" s="72"/>
      <c r="AG17" s="167"/>
      <c r="AH17" s="167"/>
      <c r="AI17" s="68"/>
      <c r="AJ17" s="68"/>
      <c r="AK17" s="167"/>
      <c r="AL17" s="168"/>
      <c r="AM17" s="169" cm="1">
        <f t="array" ref="AM17">SUM(COUNTIFS(F17, {"X","/\"}, F$10, "&lt;&gt;"), COUNTIFS(H17:L17, {"X","/\"}, H$10:L$10, "&lt;&gt;"), COUNTIFS(N17:R17, {"X","/\"}, N$10:R$10, "&lt;&gt;"), COUNTIFS(T17:U17, {"X","/\"}, T$10:U$10, "&lt;&gt;"), COUNTIFS(W17:X17, {"X","/\"}, W$10:X$10, "&lt;&gt;"), COUNTIFS(Z17, {"X","/\"}, Z$10, "&lt;&gt;"), COUNTIFS(AB17:AG17, {"X","/\"}, AB$10:AG$10, "&lt;&gt;"), COUNTIFS(AI17:AK17, {"X","/\"}, AI$10:AK$10, "&lt;&gt;"))</f>
        <v>0</v>
      </c>
      <c r="AN17" s="157"/>
      <c r="AO17" s="155" cm="1">
        <f t="array" ref="AO17">SUM(COUNTIFS(F17, {"","/","\"}, F$10, "&lt;&gt;"), COUNTIFS(H17:L17, {"","/","\"}, H$10:L$10, "&lt;&gt;"), COUNTIFS(N17:R17, {"","/","\"}, N$10:R$10, "&lt;&gt;"), COUNTIFS(T17:V17, {"","/","\"}, T$10:V$10, "&lt;&gt;"), COUNTIFS(X17, {"","/","\"}, X$10, "&lt;&gt;"), COUNTIFS(Z17, {"","/","\"}, Z$10, "&lt;&gt;"), COUNTIFS(AB17:AG17, {"","/","\"}, AB$10:AG$10, "&lt;&gt;"), COUNTIFS(AI17:AK17, {"","/","\"}, AI$10:AK$10, "&lt;&gt;"))</f>
        <v>0</v>
      </c>
      <c r="AP17" s="155"/>
      <c r="AQ17" s="169" t="s">
        <v>2</v>
      </c>
      <c r="AR17" s="155"/>
      <c r="AS17" s="155"/>
      <c r="AT17" s="157"/>
    </row>
    <row r="18" spans="1:46" ht="20.149999999999999" customHeight="1">
      <c r="A18" s="158">
        <v>7</v>
      </c>
      <c r="B18" s="159"/>
      <c r="C18" s="170"/>
      <c r="D18" s="171"/>
      <c r="E18" s="171"/>
      <c r="F18" s="179"/>
      <c r="G18" s="167"/>
      <c r="H18" s="68"/>
      <c r="I18" s="68"/>
      <c r="J18" s="68"/>
      <c r="K18" s="69"/>
      <c r="L18" s="174"/>
      <c r="M18" s="167"/>
      <c r="N18" s="68"/>
      <c r="O18" s="68"/>
      <c r="P18" s="68"/>
      <c r="Q18" s="71"/>
      <c r="R18" s="179"/>
      <c r="S18" s="167"/>
      <c r="T18" s="68"/>
      <c r="U18" s="68"/>
      <c r="V18" s="167"/>
      <c r="W18" s="167"/>
      <c r="X18" s="167"/>
      <c r="Y18" s="168"/>
      <c r="Z18" s="174"/>
      <c r="AA18" s="167"/>
      <c r="AB18" s="68"/>
      <c r="AC18" s="68"/>
      <c r="AD18" s="68"/>
      <c r="AE18" s="71"/>
      <c r="AF18" s="72"/>
      <c r="AG18" s="167"/>
      <c r="AH18" s="167"/>
      <c r="AI18" s="68"/>
      <c r="AJ18" s="68"/>
      <c r="AK18" s="167"/>
      <c r="AL18" s="168"/>
      <c r="AM18" s="169" cm="1">
        <f t="array" ref="AM18">SUM(COUNTIFS(F18, {"X","/\"}, F$10, "&lt;&gt;"), COUNTIFS(H18:L18, {"X","/\"}, H$10:L$10, "&lt;&gt;"), COUNTIFS(N18:R18, {"X","/\"}, N$10:R$10, "&lt;&gt;"), COUNTIFS(T18:U18, {"X","/\"}, T$10:U$10, "&lt;&gt;"), COUNTIFS(W18:X18, {"X","/\"}, W$10:X$10, "&lt;&gt;"), COUNTIFS(Z18, {"X","/\"}, Z$10, "&lt;&gt;"), COUNTIFS(AB18:AG18, {"X","/\"}, AB$10:AG$10, "&lt;&gt;"), COUNTIFS(AI18:AK18, {"X","/\"}, AI$10:AK$10, "&lt;&gt;"))</f>
        <v>0</v>
      </c>
      <c r="AN18" s="157"/>
      <c r="AO18" s="155" cm="1">
        <f t="array" ref="AO18">SUM(COUNTIFS(F18, {"","/","\"}, F$10, "&lt;&gt;"), COUNTIFS(H18:L18, {"","/","\"}, H$10:L$10, "&lt;&gt;"), COUNTIFS(N18:R18, {"","/","\"}, N$10:R$10, "&lt;&gt;"), COUNTIFS(T18:V18, {"","/","\"}, T$10:V$10, "&lt;&gt;"), COUNTIFS(X18, {"","/","\"}, X$10, "&lt;&gt;"), COUNTIFS(Z18, {"","/","\"}, Z$10, "&lt;&gt;"), COUNTIFS(AB18:AG18, {"","/","\"}, AB$10:AG$10, "&lt;&gt;"), COUNTIFS(AI18:AK18, {"","/","\"}, AI$10:AK$10, "&lt;&gt;"))</f>
        <v>0</v>
      </c>
      <c r="AP18" s="155"/>
      <c r="AQ18" s="169" t="s">
        <v>2</v>
      </c>
      <c r="AR18" s="155"/>
      <c r="AS18" s="155"/>
      <c r="AT18" s="157"/>
    </row>
    <row r="19" spans="1:46" ht="20.149999999999999" customHeight="1">
      <c r="A19" s="158">
        <v>8</v>
      </c>
      <c r="B19" s="159"/>
      <c r="C19" s="170"/>
      <c r="D19" s="171"/>
      <c r="E19" s="171"/>
      <c r="F19" s="179"/>
      <c r="G19" s="167"/>
      <c r="H19" s="68"/>
      <c r="I19" s="68"/>
      <c r="J19" s="68"/>
      <c r="K19" s="69"/>
      <c r="L19" s="174"/>
      <c r="M19" s="167"/>
      <c r="N19" s="68"/>
      <c r="O19" s="68"/>
      <c r="P19" s="68"/>
      <c r="Q19" s="71"/>
      <c r="R19" s="179"/>
      <c r="S19" s="167"/>
      <c r="T19" s="68"/>
      <c r="U19" s="68"/>
      <c r="V19" s="167"/>
      <c r="W19" s="167"/>
      <c r="X19" s="167"/>
      <c r="Y19" s="168"/>
      <c r="Z19" s="174"/>
      <c r="AA19" s="167"/>
      <c r="AB19" s="68"/>
      <c r="AC19" s="68"/>
      <c r="AD19" s="68"/>
      <c r="AE19" s="71"/>
      <c r="AF19" s="72"/>
      <c r="AG19" s="167"/>
      <c r="AH19" s="167"/>
      <c r="AI19" s="68"/>
      <c r="AJ19" s="68"/>
      <c r="AK19" s="167"/>
      <c r="AL19" s="168"/>
      <c r="AM19" s="169" cm="1">
        <f t="array" ref="AM19">SUM(COUNTIFS(F19, {"X","/\"}, F$10, "&lt;&gt;"), COUNTIFS(H19:L19, {"X","/\"}, H$10:L$10, "&lt;&gt;"), COUNTIFS(N19:R19, {"X","/\"}, N$10:R$10, "&lt;&gt;"), COUNTIFS(T19:U19, {"X","/\"}, T$10:U$10, "&lt;&gt;"), COUNTIFS(W19:X19, {"X","/\"}, W$10:X$10, "&lt;&gt;"), COUNTIFS(Z19, {"X","/\"}, Z$10, "&lt;&gt;"), COUNTIFS(AB19:AG19, {"X","/\"}, AB$10:AG$10, "&lt;&gt;"), COUNTIFS(AI19:AK19, {"X","/\"}, AI$10:AK$10, "&lt;&gt;"))</f>
        <v>0</v>
      </c>
      <c r="AN19" s="157"/>
      <c r="AO19" s="155" cm="1">
        <f t="array" ref="AO19">SUM(COUNTIFS(F19, {"","/","\"}, F$10, "&lt;&gt;"), COUNTIFS(H19:L19, {"","/","\"}, H$10:L$10, "&lt;&gt;"), COUNTIFS(N19:R19, {"","/","\"}, N$10:R$10, "&lt;&gt;"), COUNTIFS(T19:V19, {"","/","\"}, T$10:V$10, "&lt;&gt;"), COUNTIFS(X19, {"","/","\"}, X$10, "&lt;&gt;"), COUNTIFS(Z19, {"","/","\"}, Z$10, "&lt;&gt;"), COUNTIFS(AB19:AG19, {"","/","\"}, AB$10:AG$10, "&lt;&gt;"), COUNTIFS(AI19:AK19, {"","/","\"}, AI$10:AK$10, "&lt;&gt;"))</f>
        <v>0</v>
      </c>
      <c r="AP19" s="155"/>
      <c r="AQ19" s="169" t="s">
        <v>2</v>
      </c>
      <c r="AR19" s="155"/>
      <c r="AS19" s="155"/>
      <c r="AT19" s="157"/>
    </row>
    <row r="20" spans="1:46" ht="20.149999999999999" customHeight="1">
      <c r="A20" s="158">
        <v>9</v>
      </c>
      <c r="B20" s="159"/>
      <c r="C20" s="170"/>
      <c r="D20" s="171"/>
      <c r="E20" s="171"/>
      <c r="F20" s="179"/>
      <c r="G20" s="167"/>
      <c r="H20" s="68"/>
      <c r="I20" s="68"/>
      <c r="J20" s="68"/>
      <c r="K20" s="69"/>
      <c r="L20" s="174"/>
      <c r="M20" s="167"/>
      <c r="N20" s="68"/>
      <c r="O20" s="68"/>
      <c r="P20" s="68"/>
      <c r="Q20" s="71"/>
      <c r="R20" s="179"/>
      <c r="S20" s="167"/>
      <c r="T20" s="68"/>
      <c r="U20" s="68"/>
      <c r="V20" s="167"/>
      <c r="W20" s="167"/>
      <c r="X20" s="167"/>
      <c r="Y20" s="168"/>
      <c r="Z20" s="174"/>
      <c r="AA20" s="167"/>
      <c r="AB20" s="68"/>
      <c r="AC20" s="68"/>
      <c r="AD20" s="68"/>
      <c r="AE20" s="71"/>
      <c r="AF20" s="72"/>
      <c r="AG20" s="167"/>
      <c r="AH20" s="167"/>
      <c r="AI20" s="68"/>
      <c r="AJ20" s="68"/>
      <c r="AK20" s="167"/>
      <c r="AL20" s="168"/>
      <c r="AM20" s="169" cm="1">
        <f t="array" ref="AM20">SUM(COUNTIFS(F20, {"X","/\"}, F$10, "&lt;&gt;"), COUNTIFS(H20:L20, {"X","/\"}, H$10:L$10, "&lt;&gt;"), COUNTIFS(N20:R20, {"X","/\"}, N$10:R$10, "&lt;&gt;"), COUNTIFS(T20:U20, {"X","/\"}, T$10:U$10, "&lt;&gt;"), COUNTIFS(W20:X20, {"X","/\"}, W$10:X$10, "&lt;&gt;"), COUNTIFS(Z20, {"X","/\"}, Z$10, "&lt;&gt;"), COUNTIFS(AB20:AG20, {"X","/\"}, AB$10:AG$10, "&lt;&gt;"), COUNTIFS(AI20:AK20, {"X","/\"}, AI$10:AK$10, "&lt;&gt;"))</f>
        <v>0</v>
      </c>
      <c r="AN20" s="157"/>
      <c r="AO20" s="155" cm="1">
        <f t="array" ref="AO20">SUM(COUNTIFS(F20, {"","/","\"}, F$10, "&lt;&gt;"), COUNTIFS(H20:L20, {"","/","\"}, H$10:L$10, "&lt;&gt;"), COUNTIFS(N20:R20, {"","/","\"}, N$10:R$10, "&lt;&gt;"), COUNTIFS(T20:V20, {"","/","\"}, T$10:V$10, "&lt;&gt;"), COUNTIFS(X20, {"","/","\"}, X$10, "&lt;&gt;"), COUNTIFS(Z20, {"","/","\"}, Z$10, "&lt;&gt;"), COUNTIFS(AB20:AG20, {"","/","\"}, AB$10:AG$10, "&lt;&gt;"), COUNTIFS(AI20:AK20, {"","/","\"}, AI$10:AK$10, "&lt;&gt;"))</f>
        <v>0</v>
      </c>
      <c r="AP20" s="155"/>
      <c r="AQ20" s="169" t="s">
        <v>2</v>
      </c>
      <c r="AR20" s="155"/>
      <c r="AS20" s="155"/>
      <c r="AT20" s="157"/>
    </row>
    <row r="21" spans="1:46" ht="20.149999999999999" customHeight="1">
      <c r="A21" s="158">
        <v>10</v>
      </c>
      <c r="B21" s="159"/>
      <c r="C21" s="198"/>
      <c r="D21" s="199"/>
      <c r="E21" s="199"/>
      <c r="F21" s="200"/>
      <c r="G21" s="201"/>
      <c r="H21" s="73"/>
      <c r="I21" s="73"/>
      <c r="J21" s="73"/>
      <c r="K21" s="74"/>
      <c r="L21" s="202"/>
      <c r="M21" s="201"/>
      <c r="N21" s="73"/>
      <c r="O21" s="73"/>
      <c r="P21" s="73"/>
      <c r="Q21" s="75"/>
      <c r="R21" s="200"/>
      <c r="S21" s="201"/>
      <c r="T21" s="73"/>
      <c r="U21" s="73"/>
      <c r="V21" s="201"/>
      <c r="W21" s="201"/>
      <c r="X21" s="201"/>
      <c r="Y21" s="204"/>
      <c r="Z21" s="202"/>
      <c r="AA21" s="201"/>
      <c r="AB21" s="73"/>
      <c r="AC21" s="73"/>
      <c r="AD21" s="73"/>
      <c r="AE21" s="75"/>
      <c r="AF21" s="76"/>
      <c r="AG21" s="201"/>
      <c r="AH21" s="201"/>
      <c r="AI21" s="73"/>
      <c r="AJ21" s="73"/>
      <c r="AK21" s="201"/>
      <c r="AL21" s="204"/>
      <c r="AM21" s="169" cm="1">
        <f t="array" ref="AM21">SUM(COUNTIFS(F21, {"X","/\"}, F$10, "&lt;&gt;"), COUNTIFS(H21:L21, {"X","/\"}, H$10:L$10, "&lt;&gt;"), COUNTIFS(N21:R21, {"X","/\"}, N$10:R$10, "&lt;&gt;"), COUNTIFS(T21:U21, {"X","/\"}, T$10:U$10, "&lt;&gt;"), COUNTIFS(W21:X21, {"X","/\"}, W$10:X$10, "&lt;&gt;"), COUNTIFS(Z21, {"X","/\"}, Z$10, "&lt;&gt;"), COUNTIFS(AB21:AG21, {"X","/\"}, AB$10:AG$10, "&lt;&gt;"), COUNTIFS(AI21:AK21, {"X","/\"}, AI$10:AK$10, "&lt;&gt;"))</f>
        <v>0</v>
      </c>
      <c r="AN21" s="157"/>
      <c r="AO21" s="155" cm="1">
        <f t="array" ref="AO21">SUM(COUNTIFS(F21, {"","/","\"}, F$10, "&lt;&gt;"), COUNTIFS(H21:L21, {"","/","\"}, H$10:L$10, "&lt;&gt;"), COUNTIFS(N21:R21, {"","/","\"}, N$10:R$10, "&lt;&gt;"), COUNTIFS(T21:V21, {"","/","\"}, T$10:V$10, "&lt;&gt;"), COUNTIFS(X21, {"","/","\"}, X$10, "&lt;&gt;"), COUNTIFS(Z21, {"","/","\"}, Z$10, "&lt;&gt;"), COUNTIFS(AB21:AG21, {"","/","\"}, AB$10:AG$10, "&lt;&gt;"), COUNTIFS(AI21:AK21, {"","/","\"}, AI$10:AK$10, "&lt;&gt;"))</f>
        <v>0</v>
      </c>
      <c r="AP21" s="155"/>
      <c r="AQ21" s="203" t="s">
        <v>2</v>
      </c>
      <c r="AR21" s="147"/>
      <c r="AS21" s="147"/>
      <c r="AT21" s="148"/>
    </row>
    <row r="22" spans="1:46" ht="20.149999999999999" customHeight="1">
      <c r="A22" s="158">
        <v>11</v>
      </c>
      <c r="B22" s="195"/>
      <c r="C22" s="196"/>
      <c r="D22" s="196"/>
      <c r="E22" s="197"/>
      <c r="F22" s="179"/>
      <c r="G22" s="167"/>
      <c r="H22" s="68"/>
      <c r="I22" s="68"/>
      <c r="J22" s="68"/>
      <c r="K22" s="69"/>
      <c r="L22" s="174"/>
      <c r="M22" s="167"/>
      <c r="N22" s="68"/>
      <c r="O22" s="68"/>
      <c r="P22" s="68"/>
      <c r="Q22" s="71"/>
      <c r="R22" s="179"/>
      <c r="S22" s="167"/>
      <c r="T22" s="68"/>
      <c r="U22" s="68"/>
      <c r="V22" s="167"/>
      <c r="W22" s="167"/>
      <c r="X22" s="167"/>
      <c r="Y22" s="168"/>
      <c r="Z22" s="174"/>
      <c r="AA22" s="167"/>
      <c r="AB22" s="68"/>
      <c r="AC22" s="68"/>
      <c r="AD22" s="68"/>
      <c r="AE22" s="71"/>
      <c r="AF22" s="72"/>
      <c r="AG22" s="167"/>
      <c r="AH22" s="167"/>
      <c r="AI22" s="68"/>
      <c r="AJ22" s="68"/>
      <c r="AK22" s="167"/>
      <c r="AL22" s="168"/>
      <c r="AM22" s="169" cm="1">
        <f t="array" ref="AM22">SUM(COUNTIFS(F22, {"X","/\"}, F$10, "&lt;&gt;"), COUNTIFS(H22:L22, {"X","/\"}, H$10:L$10, "&lt;&gt;"), COUNTIFS(N22:R22, {"X","/\"}, N$10:R$10, "&lt;&gt;"), COUNTIFS(T22:U22, {"X","/\"}, T$10:U$10, "&lt;&gt;"), COUNTIFS(W22:X22, {"X","/\"}, W$10:X$10, "&lt;&gt;"), COUNTIFS(Z22, {"X","/\"}, Z$10, "&lt;&gt;"), COUNTIFS(AB22:AG22, {"X","/\"}, AB$10:AG$10, "&lt;&gt;"), COUNTIFS(AI22:AK22, {"X","/\"}, AI$10:AK$10, "&lt;&gt;"))</f>
        <v>0</v>
      </c>
      <c r="AN22" s="157"/>
      <c r="AO22" s="155" cm="1">
        <f t="array" ref="AO22">SUM(COUNTIFS(F22, {"","/","\"}, F$10, "&lt;&gt;"), COUNTIFS(H22:L22, {"","/","\"}, H$10:L$10, "&lt;&gt;"), COUNTIFS(N22:R22, {"","/","\"}, N$10:R$10, "&lt;&gt;"), COUNTIFS(T22:V22, {"","/","\"}, T$10:V$10, "&lt;&gt;"), COUNTIFS(X22, {"","/","\"}, X$10, "&lt;&gt;"), COUNTIFS(Z22, {"","/","\"}, Z$10, "&lt;&gt;"), COUNTIFS(AB22:AG22, {"","/","\"}, AB$10:AG$10, "&lt;&gt;"), COUNTIFS(AI22:AK22, {"","/","\"}, AI$10:AK$10, "&lt;&gt;"))</f>
        <v>0</v>
      </c>
      <c r="AP22" s="155"/>
      <c r="AQ22" s="189" t="s">
        <v>2</v>
      </c>
      <c r="AR22" s="190"/>
      <c r="AS22" s="190"/>
      <c r="AT22" s="191"/>
    </row>
    <row r="23" spans="1:46" ht="20.149999999999999" customHeight="1">
      <c r="A23" s="158">
        <v>12</v>
      </c>
      <c r="B23" s="159"/>
      <c r="C23" s="185"/>
      <c r="D23" s="186"/>
      <c r="E23" s="186"/>
      <c r="F23" s="187"/>
      <c r="G23" s="180"/>
      <c r="H23" s="65"/>
      <c r="I23" s="65"/>
      <c r="J23" s="65"/>
      <c r="K23" s="77"/>
      <c r="L23" s="188"/>
      <c r="M23" s="180"/>
      <c r="N23" s="65"/>
      <c r="O23" s="65"/>
      <c r="P23" s="65"/>
      <c r="Q23" s="66"/>
      <c r="R23" s="187"/>
      <c r="S23" s="180"/>
      <c r="T23" s="65"/>
      <c r="U23" s="65"/>
      <c r="V23" s="180"/>
      <c r="W23" s="180"/>
      <c r="X23" s="180"/>
      <c r="Y23" s="181"/>
      <c r="Z23" s="188"/>
      <c r="AA23" s="180"/>
      <c r="AB23" s="65"/>
      <c r="AC23" s="65"/>
      <c r="AD23" s="65"/>
      <c r="AE23" s="66"/>
      <c r="AF23" s="78"/>
      <c r="AG23" s="180"/>
      <c r="AH23" s="180"/>
      <c r="AI23" s="65"/>
      <c r="AJ23" s="65"/>
      <c r="AK23" s="180"/>
      <c r="AL23" s="181"/>
      <c r="AM23" s="169" cm="1">
        <f t="array" ref="AM23">SUM(COUNTIFS(F23, {"X","/\"}, F$10, "&lt;&gt;"), COUNTIFS(H23:L23, {"X","/\"}, H$10:L$10, "&lt;&gt;"), COUNTIFS(N23:R23, {"X","/\"}, N$10:R$10, "&lt;&gt;"), COUNTIFS(T23:U23, {"X","/\"}, T$10:U$10, "&lt;&gt;"), COUNTIFS(W23:X23, {"X","/\"}, W$10:X$10, "&lt;&gt;"), COUNTIFS(Z23, {"X","/\"}, Z$10, "&lt;&gt;"), COUNTIFS(AB23:AG23, {"X","/\"}, AB$10:AG$10, "&lt;&gt;"), COUNTIFS(AI23:AK23, {"X","/\"}, AI$10:AK$10, "&lt;&gt;"))</f>
        <v>0</v>
      </c>
      <c r="AN23" s="157"/>
      <c r="AO23" s="155" cm="1">
        <f t="array" ref="AO23">SUM(COUNTIFS(F23, {"","/","\"}, F$10, "&lt;&gt;"), COUNTIFS(H23:L23, {"","/","\"}, H$10:L$10, "&lt;&gt;"), COUNTIFS(N23:R23, {"","/","\"}, N$10:R$10, "&lt;&gt;"), COUNTIFS(T23:V23, {"","/","\"}, T$10:V$10, "&lt;&gt;"), COUNTIFS(X23, {"","/","\"}, X$10, "&lt;&gt;"), COUNTIFS(Z23, {"","/","\"}, Z$10, "&lt;&gt;"), COUNTIFS(AB23:AG23, {"","/","\"}, AB$10:AG$10, "&lt;&gt;"), COUNTIFS(AI23:AK23, {"","/","\"}, AI$10:AK$10, "&lt;&gt;"))</f>
        <v>0</v>
      </c>
      <c r="AP23" s="155"/>
      <c r="AQ23" s="182" t="s">
        <v>2</v>
      </c>
      <c r="AR23" s="183"/>
      <c r="AS23" s="183"/>
      <c r="AT23" s="184"/>
    </row>
    <row r="24" spans="1:46" ht="20.149999999999999" customHeight="1">
      <c r="A24" s="158">
        <v>13</v>
      </c>
      <c r="B24" s="159"/>
      <c r="C24" s="170"/>
      <c r="D24" s="171"/>
      <c r="E24" s="171"/>
      <c r="F24" s="179"/>
      <c r="G24" s="167"/>
      <c r="H24" s="68"/>
      <c r="I24" s="68"/>
      <c r="J24" s="68"/>
      <c r="K24" s="69"/>
      <c r="L24" s="174"/>
      <c r="M24" s="167"/>
      <c r="N24" s="68"/>
      <c r="O24" s="68"/>
      <c r="P24" s="68"/>
      <c r="Q24" s="71"/>
      <c r="R24" s="179"/>
      <c r="S24" s="167"/>
      <c r="T24" s="68"/>
      <c r="U24" s="68"/>
      <c r="V24" s="167"/>
      <c r="W24" s="167"/>
      <c r="X24" s="167"/>
      <c r="Y24" s="168"/>
      <c r="Z24" s="174"/>
      <c r="AA24" s="167"/>
      <c r="AB24" s="68"/>
      <c r="AC24" s="68"/>
      <c r="AD24" s="68"/>
      <c r="AE24" s="71"/>
      <c r="AF24" s="72"/>
      <c r="AG24" s="167"/>
      <c r="AH24" s="167"/>
      <c r="AI24" s="68"/>
      <c r="AJ24" s="68"/>
      <c r="AK24" s="167"/>
      <c r="AL24" s="168"/>
      <c r="AM24" s="169" cm="1">
        <f t="array" ref="AM24">SUM(COUNTIFS(F24, {"X","/\"}, F$10, "&lt;&gt;"), COUNTIFS(H24:L24, {"X","/\"}, H$10:L$10, "&lt;&gt;"), COUNTIFS(N24:R24, {"X","/\"}, N$10:R$10, "&lt;&gt;"), COUNTIFS(T24:U24, {"X","/\"}, T$10:U$10, "&lt;&gt;"), COUNTIFS(W24:X24, {"X","/\"}, W$10:X$10, "&lt;&gt;"), COUNTIFS(Z24, {"X","/\"}, Z$10, "&lt;&gt;"), COUNTIFS(AB24:AG24, {"X","/\"}, AB$10:AG$10, "&lt;&gt;"), COUNTIFS(AI24:AK24, {"X","/\"}, AI$10:AK$10, "&lt;&gt;"))</f>
        <v>0</v>
      </c>
      <c r="AN24" s="157"/>
      <c r="AO24" s="155" cm="1">
        <f t="array" ref="AO24">SUM(COUNTIFS(F24, {"","/","\"}, F$10, "&lt;&gt;"), COUNTIFS(H24:L24, {"","/","\"}, H$10:L$10, "&lt;&gt;"), COUNTIFS(N24:R24, {"","/","\"}, N$10:R$10, "&lt;&gt;"), COUNTIFS(T24:V24, {"","/","\"}, T$10:V$10, "&lt;&gt;"), COUNTIFS(X24, {"","/","\"}, X$10, "&lt;&gt;"), COUNTIFS(Z24, {"","/","\"}, Z$10, "&lt;&gt;"), COUNTIFS(AB24:AG24, {"","/","\"}, AB$10:AG$10, "&lt;&gt;"), COUNTIFS(AI24:AK24, {"","/","\"}, AI$10:AK$10, "&lt;&gt;"))</f>
        <v>0</v>
      </c>
      <c r="AP24" s="155"/>
      <c r="AQ24" s="169" t="s">
        <v>2</v>
      </c>
      <c r="AR24" s="155"/>
      <c r="AS24" s="155"/>
      <c r="AT24" s="157"/>
    </row>
    <row r="25" spans="1:46" ht="20.149999999999999" customHeight="1">
      <c r="A25" s="158">
        <v>14</v>
      </c>
      <c r="B25" s="159"/>
      <c r="C25" s="170"/>
      <c r="D25" s="171"/>
      <c r="E25" s="171"/>
      <c r="F25" s="179"/>
      <c r="G25" s="167"/>
      <c r="H25" s="68"/>
      <c r="I25" s="68"/>
      <c r="J25" s="68"/>
      <c r="K25" s="69"/>
      <c r="L25" s="174"/>
      <c r="M25" s="167"/>
      <c r="N25" s="68"/>
      <c r="O25" s="68"/>
      <c r="P25" s="68"/>
      <c r="Q25" s="71"/>
      <c r="R25" s="179"/>
      <c r="S25" s="167"/>
      <c r="T25" s="68"/>
      <c r="U25" s="68"/>
      <c r="V25" s="167"/>
      <c r="W25" s="167"/>
      <c r="X25" s="167"/>
      <c r="Y25" s="168"/>
      <c r="Z25" s="174"/>
      <c r="AA25" s="167"/>
      <c r="AB25" s="68"/>
      <c r="AC25" s="68"/>
      <c r="AD25" s="68"/>
      <c r="AE25" s="71"/>
      <c r="AF25" s="72"/>
      <c r="AG25" s="167"/>
      <c r="AH25" s="167"/>
      <c r="AI25" s="68"/>
      <c r="AJ25" s="68"/>
      <c r="AK25" s="167"/>
      <c r="AL25" s="168"/>
      <c r="AM25" s="169" cm="1">
        <f t="array" ref="AM25">SUM(COUNTIFS(F25, {"X","/\"}, F$10, "&lt;&gt;"), COUNTIFS(H25:L25, {"X","/\"}, H$10:L$10, "&lt;&gt;"), COUNTIFS(N25:R25, {"X","/\"}, N$10:R$10, "&lt;&gt;"), COUNTIFS(T25:U25, {"X","/\"}, T$10:U$10, "&lt;&gt;"), COUNTIFS(W25:X25, {"X","/\"}, W$10:X$10, "&lt;&gt;"), COUNTIFS(Z25, {"X","/\"}, Z$10, "&lt;&gt;"), COUNTIFS(AB25:AG25, {"X","/\"}, AB$10:AG$10, "&lt;&gt;"), COUNTIFS(AI25:AK25, {"X","/\"}, AI$10:AK$10, "&lt;&gt;"))</f>
        <v>0</v>
      </c>
      <c r="AN25" s="157"/>
      <c r="AO25" s="155" cm="1">
        <f t="array" ref="AO25">SUM(COUNTIFS(F25, {"","/","\"}, F$10, "&lt;&gt;"), COUNTIFS(H25:L25, {"","/","\"}, H$10:L$10, "&lt;&gt;"), COUNTIFS(N25:R25, {"","/","\"}, N$10:R$10, "&lt;&gt;"), COUNTIFS(T25:V25, {"","/","\"}, T$10:V$10, "&lt;&gt;"), COUNTIFS(X25, {"","/","\"}, X$10, "&lt;&gt;"), COUNTIFS(Z25, {"","/","\"}, Z$10, "&lt;&gt;"), COUNTIFS(AB25:AG25, {"","/","\"}, AB$10:AG$10, "&lt;&gt;"), COUNTIFS(AI25:AK25, {"","/","\"}, AI$10:AK$10, "&lt;&gt;"))</f>
        <v>0</v>
      </c>
      <c r="AP25" s="155"/>
      <c r="AQ25" s="169" t="s">
        <v>2</v>
      </c>
      <c r="AR25" s="155"/>
      <c r="AS25" s="155"/>
      <c r="AT25" s="157"/>
    </row>
    <row r="26" spans="1:46" ht="20.149999999999999" customHeight="1">
      <c r="A26" s="158">
        <v>15</v>
      </c>
      <c r="B26" s="159"/>
      <c r="C26" s="170"/>
      <c r="D26" s="171"/>
      <c r="E26" s="171"/>
      <c r="F26" s="179"/>
      <c r="G26" s="167"/>
      <c r="H26" s="68"/>
      <c r="I26" s="68"/>
      <c r="J26" s="68"/>
      <c r="K26" s="69"/>
      <c r="L26" s="174"/>
      <c r="M26" s="167"/>
      <c r="N26" s="68"/>
      <c r="O26" s="68"/>
      <c r="P26" s="68"/>
      <c r="Q26" s="71"/>
      <c r="R26" s="179"/>
      <c r="S26" s="167"/>
      <c r="T26" s="68"/>
      <c r="U26" s="68"/>
      <c r="V26" s="167"/>
      <c r="W26" s="167"/>
      <c r="X26" s="167"/>
      <c r="Y26" s="168"/>
      <c r="Z26" s="174"/>
      <c r="AA26" s="167"/>
      <c r="AB26" s="68"/>
      <c r="AC26" s="68"/>
      <c r="AD26" s="68"/>
      <c r="AE26" s="71"/>
      <c r="AF26" s="72"/>
      <c r="AG26" s="167"/>
      <c r="AH26" s="167"/>
      <c r="AI26" s="68"/>
      <c r="AJ26" s="68"/>
      <c r="AK26" s="167"/>
      <c r="AL26" s="168"/>
      <c r="AM26" s="169" cm="1">
        <f t="array" ref="AM26">SUM(COUNTIFS(F26, {"X","/\"}, F$10, "&lt;&gt;"), COUNTIFS(H26:L26, {"X","/\"}, H$10:L$10, "&lt;&gt;"), COUNTIFS(N26:R26, {"X","/\"}, N$10:R$10, "&lt;&gt;"), COUNTIFS(T26:U26, {"X","/\"}, T$10:U$10, "&lt;&gt;"), COUNTIFS(W26:X26, {"X","/\"}, W$10:X$10, "&lt;&gt;"), COUNTIFS(Z26, {"X","/\"}, Z$10, "&lt;&gt;"), COUNTIFS(AB26:AG26, {"X","/\"}, AB$10:AG$10, "&lt;&gt;"), COUNTIFS(AI26:AK26, {"X","/\"}, AI$10:AK$10, "&lt;&gt;"))</f>
        <v>0</v>
      </c>
      <c r="AN26" s="157"/>
      <c r="AO26" s="155" cm="1">
        <f t="array" ref="AO26">SUM(COUNTIFS(F26, {"","/","\"}, F$10, "&lt;&gt;"), COUNTIFS(H26:L26, {"","/","\"}, H$10:L$10, "&lt;&gt;"), COUNTIFS(N26:R26, {"","/","\"}, N$10:R$10, "&lt;&gt;"), COUNTIFS(T26:V26, {"","/","\"}, T$10:V$10, "&lt;&gt;"), COUNTIFS(X26, {"","/","\"}, X$10, "&lt;&gt;"), COUNTIFS(Z26, {"","/","\"}, Z$10, "&lt;&gt;"), COUNTIFS(AB26:AG26, {"","/","\"}, AB$10:AG$10, "&lt;&gt;"), COUNTIFS(AI26:AK26, {"","/","\"}, AI$10:AK$10, "&lt;&gt;"))</f>
        <v>0</v>
      </c>
      <c r="AP26" s="155"/>
      <c r="AQ26" s="169" t="s">
        <v>2</v>
      </c>
      <c r="AR26" s="155"/>
      <c r="AS26" s="155"/>
      <c r="AT26" s="157"/>
    </row>
    <row r="27" spans="1:46" ht="20.149999999999999" customHeight="1">
      <c r="A27" s="158">
        <v>16</v>
      </c>
      <c r="B27" s="159"/>
      <c r="C27" s="170"/>
      <c r="D27" s="171"/>
      <c r="E27" s="171"/>
      <c r="F27" s="179"/>
      <c r="G27" s="167"/>
      <c r="H27" s="68"/>
      <c r="I27" s="68"/>
      <c r="J27" s="68"/>
      <c r="K27" s="69"/>
      <c r="L27" s="174"/>
      <c r="M27" s="167"/>
      <c r="N27" s="68"/>
      <c r="O27" s="68"/>
      <c r="P27" s="68"/>
      <c r="Q27" s="71"/>
      <c r="R27" s="179"/>
      <c r="S27" s="167"/>
      <c r="T27" s="68"/>
      <c r="U27" s="68"/>
      <c r="V27" s="167"/>
      <c r="W27" s="167"/>
      <c r="X27" s="167"/>
      <c r="Y27" s="168"/>
      <c r="Z27" s="174"/>
      <c r="AA27" s="167"/>
      <c r="AB27" s="68"/>
      <c r="AC27" s="68"/>
      <c r="AD27" s="68"/>
      <c r="AE27" s="71"/>
      <c r="AF27" s="72"/>
      <c r="AG27" s="167"/>
      <c r="AH27" s="167"/>
      <c r="AI27" s="68"/>
      <c r="AJ27" s="68"/>
      <c r="AK27" s="167"/>
      <c r="AL27" s="168"/>
      <c r="AM27" s="169" cm="1">
        <f t="array" ref="AM27">SUM(COUNTIFS(F27, {"X","/\"}, F$10, "&lt;&gt;"), COUNTIFS(H27:L27, {"X","/\"}, H$10:L$10, "&lt;&gt;"), COUNTIFS(N27:R27, {"X","/\"}, N$10:R$10, "&lt;&gt;"), COUNTIFS(T27:U27, {"X","/\"}, T$10:U$10, "&lt;&gt;"), COUNTIFS(W27:X27, {"X","/\"}, W$10:X$10, "&lt;&gt;"), COUNTIFS(Z27, {"X","/\"}, Z$10, "&lt;&gt;"), COUNTIFS(AB27:AG27, {"X","/\"}, AB$10:AG$10, "&lt;&gt;"), COUNTIFS(AI27:AK27, {"X","/\"}, AI$10:AK$10, "&lt;&gt;"))</f>
        <v>0</v>
      </c>
      <c r="AN27" s="157"/>
      <c r="AO27" s="155" cm="1">
        <f t="array" ref="AO27">SUM(COUNTIFS(F27, {"","/","\"}, F$10, "&lt;&gt;"), COUNTIFS(H27:L27, {"","/","\"}, H$10:L$10, "&lt;&gt;"), COUNTIFS(N27:R27, {"","/","\"}, N$10:R$10, "&lt;&gt;"), COUNTIFS(T27:V27, {"","/","\"}, T$10:V$10, "&lt;&gt;"), COUNTIFS(X27, {"","/","\"}, X$10, "&lt;&gt;"), COUNTIFS(Z27, {"","/","\"}, Z$10, "&lt;&gt;"), COUNTIFS(AB27:AG27, {"","/","\"}, AB$10:AG$10, "&lt;&gt;"), COUNTIFS(AI27:AK27, {"","/","\"}, AI$10:AK$10, "&lt;&gt;"))</f>
        <v>0</v>
      </c>
      <c r="AP27" s="155"/>
      <c r="AQ27" s="169" t="s">
        <v>2</v>
      </c>
      <c r="AR27" s="155"/>
      <c r="AS27" s="155"/>
      <c r="AT27" s="157"/>
    </row>
    <row r="28" spans="1:46" ht="20.149999999999999" customHeight="1" thickBot="1">
      <c r="A28" s="158">
        <v>17</v>
      </c>
      <c r="B28" s="159"/>
      <c r="C28" s="170"/>
      <c r="D28" s="171"/>
      <c r="E28" s="171"/>
      <c r="F28" s="172"/>
      <c r="G28" s="173"/>
      <c r="H28" s="79"/>
      <c r="I28" s="79"/>
      <c r="J28" s="79"/>
      <c r="K28" s="80"/>
      <c r="L28" s="174"/>
      <c r="M28" s="167"/>
      <c r="N28" s="68"/>
      <c r="O28" s="68"/>
      <c r="P28" s="68"/>
      <c r="Q28" s="71"/>
      <c r="R28" s="172"/>
      <c r="S28" s="173"/>
      <c r="T28" s="79"/>
      <c r="U28" s="79"/>
      <c r="V28" s="173"/>
      <c r="W28" s="173"/>
      <c r="X28" s="173"/>
      <c r="Y28" s="178"/>
      <c r="Z28" s="174"/>
      <c r="AA28" s="167"/>
      <c r="AB28" s="68"/>
      <c r="AC28" s="68"/>
      <c r="AD28" s="68"/>
      <c r="AE28" s="71"/>
      <c r="AF28" s="81"/>
      <c r="AG28" s="173"/>
      <c r="AH28" s="173"/>
      <c r="AI28" s="79"/>
      <c r="AJ28" s="79"/>
      <c r="AK28" s="173"/>
      <c r="AL28" s="178"/>
      <c r="AM28" s="175" cm="1">
        <f t="array" ref="AM28">SUM(COUNTIFS(F28, {"X","/\"}, F$10, "&lt;&gt;"), COUNTIFS(H28:L28, {"X","/\"}, H$10:L$10, "&lt;&gt;"), COUNTIFS(N28:R28, {"X","/\"}, N$10:R$10, "&lt;&gt;"), COUNTIFS(T28:U28, {"X","/\"}, T$10:U$10, "&lt;&gt;"), COUNTIFS(W28:X28, {"X","/\"}, W$10:X$10, "&lt;&gt;"), COUNTIFS(Z28, {"X","/\"}, Z$10, "&lt;&gt;"), COUNTIFS(AB28:AG28, {"X","/\"}, AB$10:AG$10, "&lt;&gt;"), COUNTIFS(AI28:AK28, {"X","/\"}, AI$10:AK$10, "&lt;&gt;"))</f>
        <v>0</v>
      </c>
      <c r="AN28" s="177"/>
      <c r="AO28" s="155" cm="1">
        <f t="array" ref="AO28">SUM(COUNTIFS(F28, {"","/","\"}, F$10, "&lt;&gt;"), COUNTIFS(H28:L28, {"","/","\"}, H$10:L$10, "&lt;&gt;"), COUNTIFS(N28:R28, {"","/","\"}, N$10:R$10, "&lt;&gt;"), COUNTIFS(T28:V28, {"","/","\"}, T$10:V$10, "&lt;&gt;"), COUNTIFS(X28, {"","/","\"}, X$10, "&lt;&gt;"), COUNTIFS(Z28, {"","/","\"}, Z$10, "&lt;&gt;"), COUNTIFS(AB28:AG28, {"","/","\"}, AB$10:AG$10, "&lt;&gt;"), COUNTIFS(AI28:AK28, {"","/","\"}, AI$10:AK$10, "&lt;&gt;"))</f>
        <v>0</v>
      </c>
      <c r="AP28" s="155"/>
      <c r="AQ28" s="175" t="s">
        <v>2</v>
      </c>
      <c r="AR28" s="176"/>
      <c r="AS28" s="176"/>
      <c r="AT28" s="177"/>
    </row>
    <row r="29" spans="1:46" ht="20.149999999999999" customHeight="1" thickBot="1">
      <c r="A29" s="149">
        <f>COUNTA(C12:C28)</f>
        <v>0</v>
      </c>
      <c r="B29" s="150"/>
      <c r="C29" s="151" t="s">
        <v>20</v>
      </c>
      <c r="D29" s="152"/>
      <c r="E29" s="152"/>
      <c r="F29" s="325" t="str" cm="1">
        <f t="array" ref="F29">IF(F$10="", "", SUM(COUNTIFS($C$12:$C$28, "&lt;&gt;", F$12:F$28, {"","/","\"})))</f>
        <v/>
      </c>
      <c r="G29" s="326"/>
      <c r="H29" s="327" t="str" cm="1">
        <f t="array" ref="H29">IF(H$10="", "", SUM(COUNTIFS($C$12:$C$28, "&lt;&gt;", H$12:H$28, {"","/","\"})))</f>
        <v/>
      </c>
      <c r="I29" s="327" t="str" cm="1">
        <f t="array" ref="I29">IF(I$10="", "", SUM(COUNTIFS($C$12:$C$28, "&lt;&gt;", I$12:I$28, {"","/","\"})))</f>
        <v/>
      </c>
      <c r="J29" s="327" t="str" cm="1">
        <f t="array" ref="J29">IF(J$10="", "", SUM(COUNTIFS($C$12:$C$28, "&lt;&gt;", J$12:J$28, {"","/","\"})))</f>
        <v/>
      </c>
      <c r="K29" s="327" t="str" cm="1">
        <f t="array" ref="K29">IF(K$10="", "", SUM(COUNTIFS($C$12:$C$28, "&lt;&gt;", K$12:K$28, {"","/","\"})))</f>
        <v/>
      </c>
      <c r="L29" s="325" t="str" cm="1">
        <f t="array" ref="L29">IF(L$10="", "", SUM(COUNTIFS($C$12:$C$28, "&lt;&gt;", L$12:L$28, {"","/","\"})))</f>
        <v/>
      </c>
      <c r="M29" s="326" t="str" cm="1">
        <f t="array" ref="M29">IF(M$10="", "", SUM(COUNTIFS($C$12:$C$28, "&lt;&gt;", M$12:M$28, {"","/","\"})))</f>
        <v/>
      </c>
      <c r="N29" s="327" t="str" cm="1">
        <f t="array" ref="N29">IF(N$10="", "", SUM(COUNTIFS($C$12:$C$28, "&lt;&gt;", N$12:N$28, {"","/","\"})))</f>
        <v/>
      </c>
      <c r="O29" s="327" t="str" cm="1">
        <f t="array" ref="O29">IF(O$10="", "", SUM(COUNTIFS($C$12:$C$28, "&lt;&gt;", O$12:O$28, {"","/","\"})))</f>
        <v/>
      </c>
      <c r="P29" s="327" t="str" cm="1">
        <f t="array" ref="P29">IF(P$10="", "", SUM(COUNTIFS($C$12:$C$28, "&lt;&gt;", P$12:P$28, {"","/","\"})))</f>
        <v/>
      </c>
      <c r="Q29" s="327" t="str" cm="1">
        <f t="array" ref="Q29">IF(Q$10="", "", SUM(COUNTIFS($C$12:$C$28, "&lt;&gt;", Q$12:Q$28, {"","/","\"})))</f>
        <v/>
      </c>
      <c r="R29" s="325" t="str" cm="1">
        <f t="array" ref="R29">IF(R$10="", "", SUM(COUNTIFS($C$12:$C$28, "&lt;&gt;", R$12:R$28, {"","/","\"})))</f>
        <v/>
      </c>
      <c r="S29" s="326" t="str" cm="1">
        <f t="array" ref="S29">IF(S$10="", "", SUM(COUNTIFS($C$12:$C$28, "&lt;&gt;", S$12:S$28, {"","/","\"})))</f>
        <v/>
      </c>
      <c r="T29" s="327" t="str" cm="1">
        <f t="array" ref="T29">IF(T$10="", "", SUM(COUNTIFS($C$12:$C$28, "&lt;&gt;", T$12:T$28, {"","/","\"})))</f>
        <v/>
      </c>
      <c r="U29" s="327" t="str" cm="1">
        <f t="array" ref="U29">IF(U$10="", "", SUM(COUNTIFS($C$12:$C$28, "&lt;&gt;", U$12:U$28, {"","/","\"})))</f>
        <v/>
      </c>
      <c r="V29" s="326" t="str" cm="1">
        <f t="array" ref="V29">IF(V$10="", "", SUM(COUNTIFS($C$12:$C$28, "&lt;&gt;", V$12:V$28, {"","/","\"})))</f>
        <v/>
      </c>
      <c r="W29" s="326" t="str" cm="1">
        <f t="array" ref="W29">IF(W$10="", "", SUM(COUNTIFS($C$12:$C$28, "&lt;&gt;", W$12:W$28, {"","/","\"})))</f>
        <v/>
      </c>
      <c r="X29" s="326" t="str" cm="1">
        <f t="array" ref="X29">IF(X$10="", "", SUM(COUNTIFS($C$12:$C$28, "&lt;&gt;", X$12:X$28, {"","/","\"})))</f>
        <v/>
      </c>
      <c r="Y29" s="326" t="str" cm="1">
        <f t="array" ref="Y29">IF(Y$10="", "", SUM(COUNTIFS($C$12:$C$28, "&lt;&gt;", Y$12:Y$28, {"","/","\"})))</f>
        <v/>
      </c>
      <c r="Z29" s="325" t="str" cm="1">
        <f t="array" ref="Z29">IF(Z$10="", "", SUM(COUNTIFS($C$12:$C$28, "&lt;&gt;", Z$12:Z$28, {"","/","\"})))</f>
        <v/>
      </c>
      <c r="AA29" s="326" t="str" cm="1">
        <f t="array" ref="AA29">IF(AA$10="", "", SUM(COUNTIFS($C$12:$C$28, "&lt;&gt;", AA$12:AA$28, {"","/","\"})))</f>
        <v/>
      </c>
      <c r="AB29" s="327" t="str" cm="1">
        <f t="array" ref="AB29">IF(AB$10="", "", SUM(COUNTIFS($C$12:$C$28, "&lt;&gt;", AB$12:AB$28, {"","/","\"})))</f>
        <v/>
      </c>
      <c r="AC29" s="327" t="str" cm="1">
        <f t="array" ref="AC29">IF(AC$10="", "", SUM(COUNTIFS($C$12:$C$28, "&lt;&gt;", AC$12:AC$28, {"","/","\"})))</f>
        <v/>
      </c>
      <c r="AD29" s="327" t="str" cm="1">
        <f t="array" ref="AD29">IF(AD$10="", "", SUM(COUNTIFS($C$12:$C$28, "&lt;&gt;", AD$12:AD$28, {"","/","\"})))</f>
        <v/>
      </c>
      <c r="AE29" s="328" t="str" cm="1">
        <f t="array" ref="AE29">IF(AE$10="", "", SUM(COUNTIFS($C$12:$C$28, "&lt;&gt;", AE$12:AE$28, {"","/","\"})))</f>
        <v/>
      </c>
      <c r="AF29" s="329" t="str" cm="1">
        <f t="array" ref="AF29">IF(AF$10="", "", SUM(COUNTIFS($C$12:$C$28, "&lt;&gt;", AF$12:AF$28, {"","/","\"})))</f>
        <v/>
      </c>
      <c r="AG29" s="326" t="str" cm="1">
        <f t="array" ref="AG29">IF(AG$10="", "", SUM(COUNTIFS($C$12:$C$28, "&lt;&gt;", AG$12:AG$28, {"","/","\"})))</f>
        <v/>
      </c>
      <c r="AH29" s="326" t="str" cm="1">
        <f t="array" ref="AH29">IF(AH$10="", "", SUM(COUNTIFS($C$12:$C$28, "&lt;&gt;", AH$12:AH$28, {"","/","\"})))</f>
        <v/>
      </c>
      <c r="AI29" s="327" t="str" cm="1">
        <f t="array" ref="AI29">IF(AI$10="", "", SUM(COUNTIFS($C$12:$C$28, "&lt;&gt;", AI$12:AI$28, {"","/","\"})))</f>
        <v/>
      </c>
      <c r="AJ29" s="327" t="str" cm="1">
        <f t="array" ref="AJ29">IF(AJ$10="", "", SUM(COUNTIFS($C$12:$C$28, "&lt;&gt;", AJ$12:AJ$28, {"","/","\"})))</f>
        <v/>
      </c>
      <c r="AK29" s="326" t="str" cm="1">
        <f t="array" ref="AK29">IF(AK$10="", "", SUM(COUNTIFS($C$12:$C$28, "&lt;&gt;", AK$12:AK$28, {"","/","\"})))</f>
        <v/>
      </c>
      <c r="AL29" s="330" t="str" cm="1">
        <f t="array" ref="AL29">IF(AL$10="", "", SUM(COUNTIFS($C$12:$C$28, "&lt;&gt;", AL$12:AL$28, {"","/","\"})))</f>
        <v/>
      </c>
      <c r="AM29" s="193">
        <f>SUM(AM12:AN28)</f>
        <v>0</v>
      </c>
      <c r="AN29" s="194"/>
      <c r="AO29" s="192">
        <f>SUM(AO12:AP28)</f>
        <v>0</v>
      </c>
      <c r="AP29" s="194"/>
      <c r="AQ29" s="192" t="s">
        <v>2</v>
      </c>
      <c r="AR29" s="193"/>
      <c r="AS29" s="193"/>
      <c r="AT29" s="146"/>
    </row>
    <row r="30" spans="1:46" ht="20.149999999999999" customHeight="1">
      <c r="A30" s="158">
        <v>1</v>
      </c>
      <c r="B30" s="159"/>
      <c r="C30" s="160"/>
      <c r="D30" s="161"/>
      <c r="E30" s="161"/>
      <c r="F30" s="162" t="s">
        <v>2</v>
      </c>
      <c r="G30" s="163"/>
      <c r="H30" s="59" t="s">
        <v>2</v>
      </c>
      <c r="I30" s="59" t="s">
        <v>2</v>
      </c>
      <c r="J30" s="59" t="s">
        <v>2</v>
      </c>
      <c r="K30" s="59" t="s">
        <v>2</v>
      </c>
      <c r="L30" s="162" t="s">
        <v>2</v>
      </c>
      <c r="M30" s="163"/>
      <c r="N30" s="59" t="s">
        <v>2</v>
      </c>
      <c r="O30" s="59" t="s">
        <v>2</v>
      </c>
      <c r="P30" s="59" t="s">
        <v>2</v>
      </c>
      <c r="Q30" s="59" t="s">
        <v>2</v>
      </c>
      <c r="R30" s="162" t="s">
        <v>2</v>
      </c>
      <c r="S30" s="163"/>
      <c r="T30" s="59" t="s">
        <v>2</v>
      </c>
      <c r="U30" s="59" t="s">
        <v>2</v>
      </c>
      <c r="V30" s="163" t="s">
        <v>2</v>
      </c>
      <c r="W30" s="163"/>
      <c r="X30" s="163" t="s">
        <v>2</v>
      </c>
      <c r="Y30" s="163"/>
      <c r="Z30" s="162" t="s">
        <v>2</v>
      </c>
      <c r="AA30" s="163"/>
      <c r="AB30" s="59" t="s">
        <v>2</v>
      </c>
      <c r="AC30" s="59" t="s">
        <v>2</v>
      </c>
      <c r="AD30" s="59" t="s">
        <v>2</v>
      </c>
      <c r="AE30" s="59" t="s">
        <v>2</v>
      </c>
      <c r="AF30" s="58" t="s">
        <v>2</v>
      </c>
      <c r="AG30" s="165" t="s">
        <v>2</v>
      </c>
      <c r="AH30" s="165"/>
      <c r="AI30" s="57" t="s">
        <v>2</v>
      </c>
      <c r="AJ30" s="57" t="s">
        <v>2</v>
      </c>
      <c r="AK30" s="165" t="s">
        <v>2</v>
      </c>
      <c r="AL30" s="166"/>
      <c r="AM30" s="169" cm="1">
        <f t="array" ref="AM30">SUM(COUNTIFS(F30, {"X","/\"}, F$10, "&lt;&gt;"), COUNTIFS(H30:L30, {"X","/\"}, H$10:L$10, "&lt;&gt;"), COUNTIFS(N30:R30, {"X","/\"}, N$10:R$10, "&lt;&gt;"), COUNTIFS(T30:U30, {"X","/\"}, T$10:U$10, "&lt;&gt;"), COUNTIFS(W30:X30, {"X","/\"}, W$10:X$10, "&lt;&gt;"), COUNTIFS(Z30, {"X","/\"}, Z$10, "&lt;&gt;"), COUNTIFS(AB30:AG30, {"X","/\"}, AB$10:AG$10, "&lt;&gt;"), COUNTIFS(AI30:AK30, {"X","/\"}, AI$10:AK$10, "&lt;&gt;"))</f>
        <v>0</v>
      </c>
      <c r="AN30" s="157"/>
      <c r="AO30" s="155" cm="1">
        <f t="array" ref="AO30">SUM(COUNTIFS(F30, {"","/","\"}, F$10, "&lt;&gt;"), COUNTIFS(H30:L30, {"","/","\"}, H$10:L$10, "&lt;&gt;"), COUNTIFS(N30:R30, {"","/","\"}, N$10:R$10, "&lt;&gt;"), COUNTIFS(T30:V30, {"","/","\"}, T$10:V$10, "&lt;&gt;"), COUNTIFS(X30, {"","/","\"}, X$10, "&lt;&gt;"), COUNTIFS(Z30, {"","/","\"}, Z$10, "&lt;&gt;"), COUNTIFS(AB30:AG30, {"","/","\"}, AB$10:AG$10, "&lt;&gt;"), COUNTIFS(AI30:AK30, {"","/","\"}, AI$10:AK$10, "&lt;&gt;"))</f>
        <v>0</v>
      </c>
      <c r="AP30" s="155"/>
      <c r="AQ30" s="156" t="s">
        <v>2</v>
      </c>
      <c r="AR30" s="155"/>
      <c r="AS30" s="155"/>
      <c r="AT30" s="157"/>
    </row>
    <row r="31" spans="1:46" ht="20.149999999999999" customHeight="1">
      <c r="A31" s="158">
        <v>2</v>
      </c>
      <c r="B31" s="159"/>
      <c r="C31" s="160"/>
      <c r="D31" s="161"/>
      <c r="E31" s="161"/>
      <c r="F31" s="162" t="s">
        <v>2</v>
      </c>
      <c r="G31" s="163"/>
      <c r="H31" s="59" t="s">
        <v>2</v>
      </c>
      <c r="I31" s="59" t="s">
        <v>2</v>
      </c>
      <c r="J31" s="59" t="s">
        <v>2</v>
      </c>
      <c r="K31" s="59" t="s">
        <v>2</v>
      </c>
      <c r="L31" s="162" t="s">
        <v>2</v>
      </c>
      <c r="M31" s="163"/>
      <c r="N31" s="59" t="s">
        <v>2</v>
      </c>
      <c r="O31" s="59" t="s">
        <v>2</v>
      </c>
      <c r="P31" s="59" t="s">
        <v>2</v>
      </c>
      <c r="Q31" s="59" t="s">
        <v>2</v>
      </c>
      <c r="R31" s="162" t="s">
        <v>2</v>
      </c>
      <c r="S31" s="163"/>
      <c r="T31" s="59" t="s">
        <v>2</v>
      </c>
      <c r="U31" s="59" t="s">
        <v>2</v>
      </c>
      <c r="V31" s="163" t="s">
        <v>2</v>
      </c>
      <c r="W31" s="163"/>
      <c r="X31" s="163" t="s">
        <v>2</v>
      </c>
      <c r="Y31" s="163"/>
      <c r="Z31" s="162" t="s">
        <v>2</v>
      </c>
      <c r="AA31" s="163"/>
      <c r="AB31" s="59" t="s">
        <v>2</v>
      </c>
      <c r="AC31" s="59" t="s">
        <v>2</v>
      </c>
      <c r="AD31" s="59" t="s">
        <v>2</v>
      </c>
      <c r="AE31" s="59" t="s">
        <v>2</v>
      </c>
      <c r="AF31" s="60" t="s">
        <v>2</v>
      </c>
      <c r="AG31" s="163" t="s">
        <v>2</v>
      </c>
      <c r="AH31" s="163"/>
      <c r="AI31" s="59" t="s">
        <v>2</v>
      </c>
      <c r="AJ31" s="59" t="s">
        <v>2</v>
      </c>
      <c r="AK31" s="163" t="s">
        <v>2</v>
      </c>
      <c r="AL31" s="164"/>
      <c r="AM31" s="169" cm="1">
        <f t="array" ref="AM31">SUM(COUNTIFS(F31, {"X","/\"}, F$10, "&lt;&gt;"), COUNTIFS(H31:L31, {"X","/\"}, H$10:L$10, "&lt;&gt;"), COUNTIFS(N31:R31, {"X","/\"}, N$10:R$10, "&lt;&gt;"), COUNTIFS(T31:U31, {"X","/\"}, T$10:U$10, "&lt;&gt;"), COUNTIFS(W31:X31, {"X","/\"}, W$10:X$10, "&lt;&gt;"), COUNTIFS(Z31, {"X","/\"}, Z$10, "&lt;&gt;"), COUNTIFS(AB31:AG31, {"X","/\"}, AB$10:AG$10, "&lt;&gt;"), COUNTIFS(AI31:AK31, {"X","/\"}, AI$10:AK$10, "&lt;&gt;"))</f>
        <v>0</v>
      </c>
      <c r="AN31" s="157"/>
      <c r="AO31" s="155" cm="1">
        <f t="array" ref="AO31">SUM(COUNTIFS(F31, {"","/","\"}, F$10, "&lt;&gt;"), COUNTIFS(H31:L31, {"","/","\"}, H$10:L$10, "&lt;&gt;"), COUNTIFS(N31:R31, {"","/","\"}, N$10:R$10, "&lt;&gt;"), COUNTIFS(T31:V31, {"","/","\"}, T$10:V$10, "&lt;&gt;"), COUNTIFS(X31, {"","/","\"}, X$10, "&lt;&gt;"), COUNTIFS(Z31, {"","/","\"}, Z$10, "&lt;&gt;"), COUNTIFS(AB31:AG31, {"","/","\"}, AB$10:AG$10, "&lt;&gt;"), COUNTIFS(AI31:AK31, {"","/","\"}, AI$10:AK$10, "&lt;&gt;"))</f>
        <v>0</v>
      </c>
      <c r="AP31" s="155"/>
      <c r="AQ31" s="156" t="s">
        <v>2</v>
      </c>
      <c r="AR31" s="155"/>
      <c r="AS31" s="155"/>
      <c r="AT31" s="157"/>
    </row>
    <row r="32" spans="1:46" ht="20.149999999999999" customHeight="1">
      <c r="A32" s="158">
        <v>3</v>
      </c>
      <c r="B32" s="159"/>
      <c r="C32" s="160"/>
      <c r="D32" s="161"/>
      <c r="E32" s="161"/>
      <c r="F32" s="162" t="s">
        <v>2</v>
      </c>
      <c r="G32" s="163"/>
      <c r="H32" s="59" t="s">
        <v>2</v>
      </c>
      <c r="I32" s="59" t="s">
        <v>2</v>
      </c>
      <c r="J32" s="59" t="s">
        <v>2</v>
      </c>
      <c r="K32" s="59" t="s">
        <v>2</v>
      </c>
      <c r="L32" s="162" t="s">
        <v>2</v>
      </c>
      <c r="M32" s="163"/>
      <c r="N32" s="59" t="s">
        <v>2</v>
      </c>
      <c r="O32" s="59" t="s">
        <v>2</v>
      </c>
      <c r="P32" s="59" t="s">
        <v>2</v>
      </c>
      <c r="Q32" s="59" t="s">
        <v>2</v>
      </c>
      <c r="R32" s="162" t="s">
        <v>2</v>
      </c>
      <c r="S32" s="163"/>
      <c r="T32" s="59" t="s">
        <v>2</v>
      </c>
      <c r="U32" s="59" t="s">
        <v>2</v>
      </c>
      <c r="V32" s="163" t="s">
        <v>2</v>
      </c>
      <c r="W32" s="163"/>
      <c r="X32" s="163" t="s">
        <v>2</v>
      </c>
      <c r="Y32" s="163"/>
      <c r="Z32" s="162" t="s">
        <v>2</v>
      </c>
      <c r="AA32" s="163"/>
      <c r="AB32" s="59" t="s">
        <v>2</v>
      </c>
      <c r="AC32" s="59" t="s">
        <v>2</v>
      </c>
      <c r="AD32" s="59" t="s">
        <v>2</v>
      </c>
      <c r="AE32" s="59" t="s">
        <v>2</v>
      </c>
      <c r="AF32" s="60" t="s">
        <v>2</v>
      </c>
      <c r="AG32" s="163" t="s">
        <v>2</v>
      </c>
      <c r="AH32" s="163"/>
      <c r="AI32" s="59" t="s">
        <v>2</v>
      </c>
      <c r="AJ32" s="59" t="s">
        <v>2</v>
      </c>
      <c r="AK32" s="163" t="s">
        <v>2</v>
      </c>
      <c r="AL32" s="164"/>
      <c r="AM32" s="169" cm="1">
        <f t="array" ref="AM32">SUM(COUNTIFS(F32, {"X","/\"}, F$10, "&lt;&gt;"), COUNTIFS(H32:L32, {"X","/\"}, H$10:L$10, "&lt;&gt;"), COUNTIFS(N32:R32, {"X","/\"}, N$10:R$10, "&lt;&gt;"), COUNTIFS(T32:U32, {"X","/\"}, T$10:U$10, "&lt;&gt;"), COUNTIFS(W32:X32, {"X","/\"}, W$10:X$10, "&lt;&gt;"), COUNTIFS(Z32, {"X","/\"}, Z$10, "&lt;&gt;"), COUNTIFS(AB32:AG32, {"X","/\"}, AB$10:AG$10, "&lt;&gt;"), COUNTIFS(AI32:AK32, {"X","/\"}, AI$10:AK$10, "&lt;&gt;"))</f>
        <v>0</v>
      </c>
      <c r="AN32" s="157"/>
      <c r="AO32" s="155" cm="1">
        <f t="array" ref="AO32">SUM(COUNTIFS(F32, {"","/","\"}, F$10, "&lt;&gt;"), COUNTIFS(H32:L32, {"","/","\"}, H$10:L$10, "&lt;&gt;"), COUNTIFS(N32:R32, {"","/","\"}, N$10:R$10, "&lt;&gt;"), COUNTIFS(T32:V32, {"","/","\"}, T$10:V$10, "&lt;&gt;"), COUNTIFS(X32, {"","/","\"}, X$10, "&lt;&gt;"), COUNTIFS(Z32, {"","/","\"}, Z$10, "&lt;&gt;"), COUNTIFS(AB32:AG32, {"","/","\"}, AB$10:AG$10, "&lt;&gt;"), COUNTIFS(AI32:AK32, {"","/","\"}, AI$10:AK$10, "&lt;&gt;"))</f>
        <v>0</v>
      </c>
      <c r="AP32" s="155"/>
      <c r="AQ32" s="156" t="s">
        <v>2</v>
      </c>
      <c r="AR32" s="155"/>
      <c r="AS32" s="155"/>
      <c r="AT32" s="157"/>
    </row>
    <row r="33" spans="1:46" ht="20.149999999999999" customHeight="1">
      <c r="A33" s="158">
        <v>4</v>
      </c>
      <c r="B33" s="159"/>
      <c r="C33" s="160"/>
      <c r="D33" s="161"/>
      <c r="E33" s="161"/>
      <c r="F33" s="162" t="s">
        <v>2</v>
      </c>
      <c r="G33" s="163"/>
      <c r="H33" s="59" t="s">
        <v>2</v>
      </c>
      <c r="I33" s="59" t="s">
        <v>2</v>
      </c>
      <c r="J33" s="59" t="s">
        <v>2</v>
      </c>
      <c r="K33" s="59" t="s">
        <v>2</v>
      </c>
      <c r="L33" s="162" t="s">
        <v>2</v>
      </c>
      <c r="M33" s="163"/>
      <c r="N33" s="59" t="s">
        <v>2</v>
      </c>
      <c r="O33" s="59" t="s">
        <v>2</v>
      </c>
      <c r="P33" s="59" t="s">
        <v>2</v>
      </c>
      <c r="Q33" s="59" t="s">
        <v>2</v>
      </c>
      <c r="R33" s="162" t="s">
        <v>2</v>
      </c>
      <c r="S33" s="163"/>
      <c r="T33" s="59" t="s">
        <v>2</v>
      </c>
      <c r="U33" s="59" t="s">
        <v>2</v>
      </c>
      <c r="V33" s="163" t="s">
        <v>2</v>
      </c>
      <c r="W33" s="163"/>
      <c r="X33" s="163" t="s">
        <v>2</v>
      </c>
      <c r="Y33" s="163"/>
      <c r="Z33" s="162" t="s">
        <v>2</v>
      </c>
      <c r="AA33" s="163"/>
      <c r="AB33" s="59" t="s">
        <v>2</v>
      </c>
      <c r="AC33" s="59" t="s">
        <v>2</v>
      </c>
      <c r="AD33" s="59" t="s">
        <v>2</v>
      </c>
      <c r="AE33" s="59" t="s">
        <v>2</v>
      </c>
      <c r="AF33" s="60" t="s">
        <v>2</v>
      </c>
      <c r="AG33" s="163" t="s">
        <v>2</v>
      </c>
      <c r="AH33" s="163"/>
      <c r="AI33" s="59" t="s">
        <v>2</v>
      </c>
      <c r="AJ33" s="59" t="s">
        <v>2</v>
      </c>
      <c r="AK33" s="163" t="s">
        <v>2</v>
      </c>
      <c r="AL33" s="164"/>
      <c r="AM33" s="169" cm="1">
        <f t="array" ref="AM33">SUM(COUNTIFS(F33, {"X","/\"}, F$10, "&lt;&gt;"), COUNTIFS(H33:L33, {"X","/\"}, H$10:L$10, "&lt;&gt;"), COUNTIFS(N33:R33, {"X","/\"}, N$10:R$10, "&lt;&gt;"), COUNTIFS(T33:U33, {"X","/\"}, T$10:U$10, "&lt;&gt;"), COUNTIFS(W33:X33, {"X","/\"}, W$10:X$10, "&lt;&gt;"), COUNTIFS(Z33, {"X","/\"}, Z$10, "&lt;&gt;"), COUNTIFS(AB33:AG33, {"X","/\"}, AB$10:AG$10, "&lt;&gt;"), COUNTIFS(AI33:AK33, {"X","/\"}, AI$10:AK$10, "&lt;&gt;"))</f>
        <v>0</v>
      </c>
      <c r="AN33" s="157"/>
      <c r="AO33" s="155" cm="1">
        <f t="array" ref="AO33">SUM(COUNTIFS(F33, {"","/","\"}, F$10, "&lt;&gt;"), COUNTIFS(H33:L33, {"","/","\"}, H$10:L$10, "&lt;&gt;"), COUNTIFS(N33:R33, {"","/","\"}, N$10:R$10, "&lt;&gt;"), COUNTIFS(T33:V33, {"","/","\"}, T$10:V$10, "&lt;&gt;"), COUNTIFS(X33, {"","/","\"}, X$10, "&lt;&gt;"), COUNTIFS(Z33, {"","/","\"}, Z$10, "&lt;&gt;"), COUNTIFS(AB33:AG33, {"","/","\"}, AB$10:AG$10, "&lt;&gt;"), COUNTIFS(AI33:AK33, {"","/","\"}, AI$10:AK$10, "&lt;&gt;"))</f>
        <v>0</v>
      </c>
      <c r="AP33" s="155"/>
      <c r="AQ33" s="156" t="s">
        <v>2</v>
      </c>
      <c r="AR33" s="155"/>
      <c r="AS33" s="155"/>
      <c r="AT33" s="157"/>
    </row>
    <row r="34" spans="1:46" ht="20.149999999999999" customHeight="1">
      <c r="A34" s="158">
        <v>5</v>
      </c>
      <c r="B34" s="159"/>
      <c r="C34" s="160"/>
      <c r="D34" s="161"/>
      <c r="E34" s="161"/>
      <c r="F34" s="162" t="s">
        <v>2</v>
      </c>
      <c r="G34" s="163"/>
      <c r="H34" s="59" t="s">
        <v>2</v>
      </c>
      <c r="I34" s="59" t="s">
        <v>2</v>
      </c>
      <c r="J34" s="59" t="s">
        <v>2</v>
      </c>
      <c r="K34" s="59" t="s">
        <v>2</v>
      </c>
      <c r="L34" s="162" t="s">
        <v>2</v>
      </c>
      <c r="M34" s="163"/>
      <c r="N34" s="59" t="s">
        <v>2</v>
      </c>
      <c r="O34" s="59" t="s">
        <v>2</v>
      </c>
      <c r="P34" s="59" t="s">
        <v>2</v>
      </c>
      <c r="Q34" s="59" t="s">
        <v>2</v>
      </c>
      <c r="R34" s="162" t="s">
        <v>2</v>
      </c>
      <c r="S34" s="163"/>
      <c r="T34" s="59" t="s">
        <v>2</v>
      </c>
      <c r="U34" s="59" t="s">
        <v>2</v>
      </c>
      <c r="V34" s="163" t="s">
        <v>2</v>
      </c>
      <c r="W34" s="163"/>
      <c r="X34" s="163" t="s">
        <v>2</v>
      </c>
      <c r="Y34" s="163"/>
      <c r="Z34" s="162" t="s">
        <v>2</v>
      </c>
      <c r="AA34" s="163"/>
      <c r="AB34" s="59" t="s">
        <v>2</v>
      </c>
      <c r="AC34" s="59" t="s">
        <v>2</v>
      </c>
      <c r="AD34" s="59" t="s">
        <v>2</v>
      </c>
      <c r="AE34" s="59" t="s">
        <v>2</v>
      </c>
      <c r="AF34" s="60" t="s">
        <v>2</v>
      </c>
      <c r="AG34" s="163" t="s">
        <v>2</v>
      </c>
      <c r="AH34" s="163"/>
      <c r="AI34" s="59" t="s">
        <v>2</v>
      </c>
      <c r="AJ34" s="59" t="s">
        <v>2</v>
      </c>
      <c r="AK34" s="163" t="s">
        <v>2</v>
      </c>
      <c r="AL34" s="164"/>
      <c r="AM34" s="169" cm="1">
        <f t="array" ref="AM34">SUM(COUNTIFS(F34, {"X","/\"}, F$10, "&lt;&gt;"), COUNTIFS(H34:L34, {"X","/\"}, H$10:L$10, "&lt;&gt;"), COUNTIFS(N34:R34, {"X","/\"}, N$10:R$10, "&lt;&gt;"), COUNTIFS(T34:U34, {"X","/\"}, T$10:U$10, "&lt;&gt;"), COUNTIFS(W34:X34, {"X","/\"}, W$10:X$10, "&lt;&gt;"), COUNTIFS(Z34, {"X","/\"}, Z$10, "&lt;&gt;"), COUNTIFS(AB34:AG34, {"X","/\"}, AB$10:AG$10, "&lt;&gt;"), COUNTIFS(AI34:AK34, {"X","/\"}, AI$10:AK$10, "&lt;&gt;"))</f>
        <v>0</v>
      </c>
      <c r="AN34" s="157"/>
      <c r="AO34" s="155" cm="1">
        <f t="array" ref="AO34">SUM(COUNTIFS(F34, {"","/","\"}, F$10, "&lt;&gt;"), COUNTIFS(H34:L34, {"","/","\"}, H$10:L$10, "&lt;&gt;"), COUNTIFS(N34:R34, {"","/","\"}, N$10:R$10, "&lt;&gt;"), COUNTIFS(T34:V34, {"","/","\"}, T$10:V$10, "&lt;&gt;"), COUNTIFS(X34, {"","/","\"}, X$10, "&lt;&gt;"), COUNTIFS(Z34, {"","/","\"}, Z$10, "&lt;&gt;"), COUNTIFS(AB34:AG34, {"","/","\"}, AB$10:AG$10, "&lt;&gt;"), COUNTIFS(AI34:AK34, {"","/","\"}, AI$10:AK$10, "&lt;&gt;"))</f>
        <v>0</v>
      </c>
      <c r="AP34" s="155"/>
      <c r="AQ34" s="156" t="s">
        <v>2</v>
      </c>
      <c r="AR34" s="155"/>
      <c r="AS34" s="155"/>
      <c r="AT34" s="157"/>
    </row>
    <row r="35" spans="1:46" ht="20.149999999999999" customHeight="1">
      <c r="A35" s="158">
        <v>6</v>
      </c>
      <c r="B35" s="159"/>
      <c r="C35" s="160"/>
      <c r="D35" s="161"/>
      <c r="E35" s="161"/>
      <c r="F35" s="162" t="s">
        <v>2</v>
      </c>
      <c r="G35" s="163"/>
      <c r="H35" s="59" t="s">
        <v>2</v>
      </c>
      <c r="I35" s="59" t="s">
        <v>2</v>
      </c>
      <c r="J35" s="59" t="s">
        <v>2</v>
      </c>
      <c r="K35" s="59" t="s">
        <v>2</v>
      </c>
      <c r="L35" s="162" t="s">
        <v>2</v>
      </c>
      <c r="M35" s="163"/>
      <c r="N35" s="59" t="s">
        <v>2</v>
      </c>
      <c r="O35" s="59" t="s">
        <v>2</v>
      </c>
      <c r="P35" s="59" t="s">
        <v>2</v>
      </c>
      <c r="Q35" s="59" t="s">
        <v>2</v>
      </c>
      <c r="R35" s="162" t="s">
        <v>2</v>
      </c>
      <c r="S35" s="163"/>
      <c r="T35" s="59" t="s">
        <v>2</v>
      </c>
      <c r="U35" s="59" t="s">
        <v>2</v>
      </c>
      <c r="V35" s="163" t="s">
        <v>2</v>
      </c>
      <c r="W35" s="163"/>
      <c r="X35" s="163" t="s">
        <v>2</v>
      </c>
      <c r="Y35" s="163"/>
      <c r="Z35" s="162" t="s">
        <v>2</v>
      </c>
      <c r="AA35" s="163"/>
      <c r="AB35" s="59" t="s">
        <v>2</v>
      </c>
      <c r="AC35" s="59" t="s">
        <v>2</v>
      </c>
      <c r="AD35" s="59" t="s">
        <v>2</v>
      </c>
      <c r="AE35" s="59" t="s">
        <v>2</v>
      </c>
      <c r="AF35" s="60" t="s">
        <v>2</v>
      </c>
      <c r="AG35" s="163" t="s">
        <v>2</v>
      </c>
      <c r="AH35" s="163"/>
      <c r="AI35" s="59" t="s">
        <v>2</v>
      </c>
      <c r="AJ35" s="59" t="s">
        <v>2</v>
      </c>
      <c r="AK35" s="163" t="s">
        <v>2</v>
      </c>
      <c r="AL35" s="164"/>
      <c r="AM35" s="169" cm="1">
        <f t="array" ref="AM35">SUM(COUNTIFS(F35, {"X","/\"}, F$10, "&lt;&gt;"), COUNTIFS(H35:L35, {"X","/\"}, H$10:L$10, "&lt;&gt;"), COUNTIFS(N35:R35, {"X","/\"}, N$10:R$10, "&lt;&gt;"), COUNTIFS(T35:U35, {"X","/\"}, T$10:U$10, "&lt;&gt;"), COUNTIFS(W35:X35, {"X","/\"}, W$10:X$10, "&lt;&gt;"), COUNTIFS(Z35, {"X","/\"}, Z$10, "&lt;&gt;"), COUNTIFS(AB35:AG35, {"X","/\"}, AB$10:AG$10, "&lt;&gt;"), COUNTIFS(AI35:AK35, {"X","/\"}, AI$10:AK$10, "&lt;&gt;"))</f>
        <v>0</v>
      </c>
      <c r="AN35" s="157"/>
      <c r="AO35" s="155" cm="1">
        <f t="array" ref="AO35">SUM(COUNTIFS(F35, {"","/","\"}, F$10, "&lt;&gt;"), COUNTIFS(H35:L35, {"","/","\"}, H$10:L$10, "&lt;&gt;"), COUNTIFS(N35:R35, {"","/","\"}, N$10:R$10, "&lt;&gt;"), COUNTIFS(T35:V35, {"","/","\"}, T$10:V$10, "&lt;&gt;"), COUNTIFS(X35, {"","/","\"}, X$10, "&lt;&gt;"), COUNTIFS(Z35, {"","/","\"}, Z$10, "&lt;&gt;"), COUNTIFS(AB35:AG35, {"","/","\"}, AB$10:AG$10, "&lt;&gt;"), COUNTIFS(AI35:AK35, {"","/","\"}, AI$10:AK$10, "&lt;&gt;"))</f>
        <v>0</v>
      </c>
      <c r="AP35" s="155"/>
      <c r="AQ35" s="156" t="s">
        <v>2</v>
      </c>
      <c r="AR35" s="155"/>
      <c r="AS35" s="155"/>
      <c r="AT35" s="157"/>
    </row>
    <row r="36" spans="1:46" ht="20.149999999999999" customHeight="1">
      <c r="A36" s="158">
        <v>7</v>
      </c>
      <c r="B36" s="159"/>
      <c r="C36" s="160"/>
      <c r="D36" s="161"/>
      <c r="E36" s="161"/>
      <c r="F36" s="162" t="s">
        <v>2</v>
      </c>
      <c r="G36" s="163"/>
      <c r="H36" s="59" t="s">
        <v>2</v>
      </c>
      <c r="I36" s="59" t="s">
        <v>2</v>
      </c>
      <c r="J36" s="59" t="s">
        <v>2</v>
      </c>
      <c r="K36" s="59" t="s">
        <v>2</v>
      </c>
      <c r="L36" s="162" t="s">
        <v>2</v>
      </c>
      <c r="M36" s="163"/>
      <c r="N36" s="59" t="s">
        <v>2</v>
      </c>
      <c r="O36" s="59" t="s">
        <v>2</v>
      </c>
      <c r="P36" s="59" t="s">
        <v>2</v>
      </c>
      <c r="Q36" s="59" t="s">
        <v>2</v>
      </c>
      <c r="R36" s="162" t="s">
        <v>2</v>
      </c>
      <c r="S36" s="163"/>
      <c r="T36" s="59" t="s">
        <v>2</v>
      </c>
      <c r="U36" s="59" t="s">
        <v>2</v>
      </c>
      <c r="V36" s="163" t="s">
        <v>2</v>
      </c>
      <c r="W36" s="163"/>
      <c r="X36" s="163" t="s">
        <v>2</v>
      </c>
      <c r="Y36" s="163"/>
      <c r="Z36" s="162" t="s">
        <v>2</v>
      </c>
      <c r="AA36" s="163"/>
      <c r="AB36" s="59" t="s">
        <v>2</v>
      </c>
      <c r="AC36" s="59" t="s">
        <v>2</v>
      </c>
      <c r="AD36" s="59" t="s">
        <v>2</v>
      </c>
      <c r="AE36" s="59" t="s">
        <v>2</v>
      </c>
      <c r="AF36" s="60" t="s">
        <v>2</v>
      </c>
      <c r="AG36" s="163" t="s">
        <v>2</v>
      </c>
      <c r="AH36" s="163"/>
      <c r="AI36" s="59" t="s">
        <v>2</v>
      </c>
      <c r="AJ36" s="59" t="s">
        <v>2</v>
      </c>
      <c r="AK36" s="163" t="s">
        <v>2</v>
      </c>
      <c r="AL36" s="164"/>
      <c r="AM36" s="169" cm="1">
        <f t="array" ref="AM36">SUM(COUNTIFS(F36, {"X","/\"}, F$10, "&lt;&gt;"), COUNTIFS(H36:L36, {"X","/\"}, H$10:L$10, "&lt;&gt;"), COUNTIFS(N36:R36, {"X","/\"}, N$10:R$10, "&lt;&gt;"), COUNTIFS(T36:U36, {"X","/\"}, T$10:U$10, "&lt;&gt;"), COUNTIFS(W36:X36, {"X","/\"}, W$10:X$10, "&lt;&gt;"), COUNTIFS(Z36, {"X","/\"}, Z$10, "&lt;&gt;"), COUNTIFS(AB36:AG36, {"X","/\"}, AB$10:AG$10, "&lt;&gt;"), COUNTIFS(AI36:AK36, {"X","/\"}, AI$10:AK$10, "&lt;&gt;"))</f>
        <v>0</v>
      </c>
      <c r="AN36" s="157"/>
      <c r="AO36" s="155" cm="1">
        <f t="array" ref="AO36">SUM(COUNTIFS(F36, {"","/","\"}, F$10, "&lt;&gt;"), COUNTIFS(H36:L36, {"","/","\"}, H$10:L$10, "&lt;&gt;"), COUNTIFS(N36:R36, {"","/","\"}, N$10:R$10, "&lt;&gt;"), COUNTIFS(T36:V36, {"","/","\"}, T$10:V$10, "&lt;&gt;"), COUNTIFS(X36, {"","/","\"}, X$10, "&lt;&gt;"), COUNTIFS(Z36, {"","/","\"}, Z$10, "&lt;&gt;"), COUNTIFS(AB36:AG36, {"","/","\"}, AB$10:AG$10, "&lt;&gt;"), COUNTIFS(AI36:AK36, {"","/","\"}, AI$10:AK$10, "&lt;&gt;"))</f>
        <v>0</v>
      </c>
      <c r="AP36" s="155"/>
      <c r="AQ36" s="156" t="s">
        <v>2</v>
      </c>
      <c r="AR36" s="155"/>
      <c r="AS36" s="155"/>
      <c r="AT36" s="157"/>
    </row>
    <row r="37" spans="1:46" ht="20.149999999999999" customHeight="1">
      <c r="A37" s="158">
        <v>8</v>
      </c>
      <c r="B37" s="159"/>
      <c r="C37" s="160"/>
      <c r="D37" s="161"/>
      <c r="E37" s="161"/>
      <c r="F37" s="162" t="s">
        <v>2</v>
      </c>
      <c r="G37" s="163"/>
      <c r="H37" s="59" t="s">
        <v>2</v>
      </c>
      <c r="I37" s="59" t="s">
        <v>2</v>
      </c>
      <c r="J37" s="59" t="s">
        <v>2</v>
      </c>
      <c r="K37" s="59" t="s">
        <v>2</v>
      </c>
      <c r="L37" s="162" t="s">
        <v>2</v>
      </c>
      <c r="M37" s="163"/>
      <c r="N37" s="59" t="s">
        <v>2</v>
      </c>
      <c r="O37" s="59" t="s">
        <v>2</v>
      </c>
      <c r="P37" s="59" t="s">
        <v>2</v>
      </c>
      <c r="Q37" s="59" t="s">
        <v>2</v>
      </c>
      <c r="R37" s="162" t="s">
        <v>2</v>
      </c>
      <c r="S37" s="163"/>
      <c r="T37" s="59" t="s">
        <v>2</v>
      </c>
      <c r="U37" s="59" t="s">
        <v>2</v>
      </c>
      <c r="V37" s="163" t="s">
        <v>2</v>
      </c>
      <c r="W37" s="163"/>
      <c r="X37" s="163" t="s">
        <v>2</v>
      </c>
      <c r="Y37" s="163"/>
      <c r="Z37" s="162" t="s">
        <v>2</v>
      </c>
      <c r="AA37" s="163"/>
      <c r="AB37" s="59" t="s">
        <v>2</v>
      </c>
      <c r="AC37" s="59" t="s">
        <v>2</v>
      </c>
      <c r="AD37" s="59" t="s">
        <v>2</v>
      </c>
      <c r="AE37" s="59" t="s">
        <v>2</v>
      </c>
      <c r="AF37" s="60" t="s">
        <v>2</v>
      </c>
      <c r="AG37" s="163" t="s">
        <v>2</v>
      </c>
      <c r="AH37" s="163"/>
      <c r="AI37" s="59" t="s">
        <v>2</v>
      </c>
      <c r="AJ37" s="59" t="s">
        <v>2</v>
      </c>
      <c r="AK37" s="163" t="s">
        <v>2</v>
      </c>
      <c r="AL37" s="164"/>
      <c r="AM37" s="169" cm="1">
        <f t="array" ref="AM37">SUM(COUNTIFS(F37, {"X","/\"}, F$10, "&lt;&gt;"), COUNTIFS(H37:L37, {"X","/\"}, H$10:L$10, "&lt;&gt;"), COUNTIFS(N37:R37, {"X","/\"}, N$10:R$10, "&lt;&gt;"), COUNTIFS(T37:U37, {"X","/\"}, T$10:U$10, "&lt;&gt;"), COUNTIFS(W37:X37, {"X","/\"}, W$10:X$10, "&lt;&gt;"), COUNTIFS(Z37, {"X","/\"}, Z$10, "&lt;&gt;"), COUNTIFS(AB37:AG37, {"X","/\"}, AB$10:AG$10, "&lt;&gt;"), COUNTIFS(AI37:AK37, {"X","/\"}, AI$10:AK$10, "&lt;&gt;"))</f>
        <v>0</v>
      </c>
      <c r="AN37" s="157"/>
      <c r="AO37" s="155" cm="1">
        <f t="array" ref="AO37">SUM(COUNTIFS(F37, {"","/","\"}, F$10, "&lt;&gt;"), COUNTIFS(H37:L37, {"","/","\"}, H$10:L$10, "&lt;&gt;"), COUNTIFS(N37:R37, {"","/","\"}, N$10:R$10, "&lt;&gt;"), COUNTIFS(T37:V37, {"","/","\"}, T$10:V$10, "&lt;&gt;"), COUNTIFS(X37, {"","/","\"}, X$10, "&lt;&gt;"), COUNTIFS(Z37, {"","/","\"}, Z$10, "&lt;&gt;"), COUNTIFS(AB37:AG37, {"","/","\"}, AB$10:AG$10, "&lt;&gt;"), COUNTIFS(AI37:AK37, {"","/","\"}, AI$10:AK$10, "&lt;&gt;"))</f>
        <v>0</v>
      </c>
      <c r="AP37" s="155"/>
      <c r="AQ37" s="156" t="s">
        <v>2</v>
      </c>
      <c r="AR37" s="155"/>
      <c r="AS37" s="155"/>
      <c r="AT37" s="157"/>
    </row>
    <row r="38" spans="1:46" ht="20.149999999999999" customHeight="1">
      <c r="A38" s="158">
        <v>9</v>
      </c>
      <c r="B38" s="159"/>
      <c r="C38" s="160"/>
      <c r="D38" s="161"/>
      <c r="E38" s="161"/>
      <c r="F38" s="162" t="s">
        <v>2</v>
      </c>
      <c r="G38" s="163"/>
      <c r="H38" s="59" t="s">
        <v>2</v>
      </c>
      <c r="I38" s="59" t="s">
        <v>2</v>
      </c>
      <c r="J38" s="59" t="s">
        <v>2</v>
      </c>
      <c r="K38" s="59" t="s">
        <v>2</v>
      </c>
      <c r="L38" s="162" t="s">
        <v>2</v>
      </c>
      <c r="M38" s="163"/>
      <c r="N38" s="59" t="s">
        <v>2</v>
      </c>
      <c r="O38" s="59" t="s">
        <v>2</v>
      </c>
      <c r="P38" s="59" t="s">
        <v>2</v>
      </c>
      <c r="Q38" s="59" t="s">
        <v>2</v>
      </c>
      <c r="R38" s="162" t="s">
        <v>2</v>
      </c>
      <c r="S38" s="163"/>
      <c r="T38" s="59" t="s">
        <v>2</v>
      </c>
      <c r="U38" s="59" t="s">
        <v>2</v>
      </c>
      <c r="V38" s="163" t="s">
        <v>2</v>
      </c>
      <c r="W38" s="163"/>
      <c r="X38" s="163" t="s">
        <v>2</v>
      </c>
      <c r="Y38" s="163"/>
      <c r="Z38" s="162" t="s">
        <v>2</v>
      </c>
      <c r="AA38" s="163"/>
      <c r="AB38" s="59" t="s">
        <v>2</v>
      </c>
      <c r="AC38" s="59" t="s">
        <v>2</v>
      </c>
      <c r="AD38" s="59" t="s">
        <v>2</v>
      </c>
      <c r="AE38" s="59" t="s">
        <v>2</v>
      </c>
      <c r="AF38" s="60" t="s">
        <v>2</v>
      </c>
      <c r="AG38" s="163" t="s">
        <v>2</v>
      </c>
      <c r="AH38" s="163"/>
      <c r="AI38" s="59" t="s">
        <v>2</v>
      </c>
      <c r="AJ38" s="59" t="s">
        <v>2</v>
      </c>
      <c r="AK38" s="163" t="s">
        <v>2</v>
      </c>
      <c r="AL38" s="164"/>
      <c r="AM38" s="169" cm="1">
        <f t="array" ref="AM38">SUM(COUNTIFS(F38, {"X","/\"}, F$10, "&lt;&gt;"), COUNTIFS(H38:L38, {"X","/\"}, H$10:L$10, "&lt;&gt;"), COUNTIFS(N38:R38, {"X","/\"}, N$10:R$10, "&lt;&gt;"), COUNTIFS(T38:U38, {"X","/\"}, T$10:U$10, "&lt;&gt;"), COUNTIFS(W38:X38, {"X","/\"}, W$10:X$10, "&lt;&gt;"), COUNTIFS(Z38, {"X","/\"}, Z$10, "&lt;&gt;"), COUNTIFS(AB38:AG38, {"X","/\"}, AB$10:AG$10, "&lt;&gt;"), COUNTIFS(AI38:AK38, {"X","/\"}, AI$10:AK$10, "&lt;&gt;"))</f>
        <v>0</v>
      </c>
      <c r="AN38" s="157"/>
      <c r="AO38" s="155" cm="1">
        <f t="array" ref="AO38">SUM(COUNTIFS(F38, {"","/","\"}, F$10, "&lt;&gt;"), COUNTIFS(H38:L38, {"","/","\"}, H$10:L$10, "&lt;&gt;"), COUNTIFS(N38:R38, {"","/","\"}, N$10:R$10, "&lt;&gt;"), COUNTIFS(T38:V38, {"","/","\"}, T$10:V$10, "&lt;&gt;"), COUNTIFS(X38, {"","/","\"}, X$10, "&lt;&gt;"), COUNTIFS(Z38, {"","/","\"}, Z$10, "&lt;&gt;"), COUNTIFS(AB38:AG38, {"","/","\"}, AB$10:AG$10, "&lt;&gt;"), COUNTIFS(AI38:AK38, {"","/","\"}, AI$10:AK$10, "&lt;&gt;"))</f>
        <v>0</v>
      </c>
      <c r="AP38" s="155"/>
      <c r="AQ38" s="156" t="s">
        <v>2</v>
      </c>
      <c r="AR38" s="155"/>
      <c r="AS38" s="155"/>
      <c r="AT38" s="157"/>
    </row>
    <row r="39" spans="1:46" ht="20.149999999999999" customHeight="1">
      <c r="A39" s="158">
        <v>10</v>
      </c>
      <c r="B39" s="159"/>
      <c r="C39" s="160"/>
      <c r="D39" s="161"/>
      <c r="E39" s="161"/>
      <c r="F39" s="162" t="s">
        <v>2</v>
      </c>
      <c r="G39" s="163"/>
      <c r="H39" s="59" t="s">
        <v>2</v>
      </c>
      <c r="I39" s="59" t="s">
        <v>2</v>
      </c>
      <c r="J39" s="59" t="s">
        <v>2</v>
      </c>
      <c r="K39" s="59" t="s">
        <v>2</v>
      </c>
      <c r="L39" s="162" t="s">
        <v>2</v>
      </c>
      <c r="M39" s="163"/>
      <c r="N39" s="59" t="s">
        <v>2</v>
      </c>
      <c r="O39" s="59" t="s">
        <v>2</v>
      </c>
      <c r="P39" s="59" t="s">
        <v>2</v>
      </c>
      <c r="Q39" s="59" t="s">
        <v>2</v>
      </c>
      <c r="R39" s="162" t="s">
        <v>2</v>
      </c>
      <c r="S39" s="163"/>
      <c r="T39" s="59" t="s">
        <v>2</v>
      </c>
      <c r="U39" s="59" t="s">
        <v>2</v>
      </c>
      <c r="V39" s="163" t="s">
        <v>2</v>
      </c>
      <c r="W39" s="163"/>
      <c r="X39" s="163" t="s">
        <v>2</v>
      </c>
      <c r="Y39" s="163"/>
      <c r="Z39" s="162" t="s">
        <v>2</v>
      </c>
      <c r="AA39" s="163"/>
      <c r="AB39" s="59" t="s">
        <v>2</v>
      </c>
      <c r="AC39" s="59" t="s">
        <v>2</v>
      </c>
      <c r="AD39" s="59" t="s">
        <v>2</v>
      </c>
      <c r="AE39" s="59" t="s">
        <v>2</v>
      </c>
      <c r="AF39" s="60" t="s">
        <v>2</v>
      </c>
      <c r="AG39" s="163" t="s">
        <v>2</v>
      </c>
      <c r="AH39" s="163"/>
      <c r="AI39" s="59" t="s">
        <v>2</v>
      </c>
      <c r="AJ39" s="59" t="s">
        <v>2</v>
      </c>
      <c r="AK39" s="163" t="s">
        <v>2</v>
      </c>
      <c r="AL39" s="164"/>
      <c r="AM39" s="169" cm="1">
        <f t="array" ref="AM39">SUM(COUNTIFS(F39, {"X","/\"}, F$10, "&lt;&gt;"), COUNTIFS(H39:L39, {"X","/\"}, H$10:L$10, "&lt;&gt;"), COUNTIFS(N39:R39, {"X","/\"}, N$10:R$10, "&lt;&gt;"), COUNTIFS(T39:U39, {"X","/\"}, T$10:U$10, "&lt;&gt;"), COUNTIFS(W39:X39, {"X","/\"}, W$10:X$10, "&lt;&gt;"), COUNTIFS(Z39, {"X","/\"}, Z$10, "&lt;&gt;"), COUNTIFS(AB39:AG39, {"X","/\"}, AB$10:AG$10, "&lt;&gt;"), COUNTIFS(AI39:AK39, {"X","/\"}, AI$10:AK$10, "&lt;&gt;"))</f>
        <v>0</v>
      </c>
      <c r="AN39" s="157"/>
      <c r="AO39" s="155" cm="1">
        <f t="array" ref="AO39">SUM(COUNTIFS(F39, {"","/","\"}, F$10, "&lt;&gt;"), COUNTIFS(H39:L39, {"","/","\"}, H$10:L$10, "&lt;&gt;"), COUNTIFS(N39:R39, {"","/","\"}, N$10:R$10, "&lt;&gt;"), COUNTIFS(T39:V39, {"","/","\"}, T$10:V$10, "&lt;&gt;"), COUNTIFS(X39, {"","/","\"}, X$10, "&lt;&gt;"), COUNTIFS(Z39, {"","/","\"}, Z$10, "&lt;&gt;"), COUNTIFS(AB39:AG39, {"","/","\"}, AB$10:AG$10, "&lt;&gt;"), COUNTIFS(AI39:AK39, {"","/","\"}, AI$10:AK$10, "&lt;&gt;"))</f>
        <v>0</v>
      </c>
      <c r="AP39" s="155"/>
      <c r="AQ39" s="156" t="s">
        <v>2</v>
      </c>
      <c r="AR39" s="155"/>
      <c r="AS39" s="155"/>
      <c r="AT39" s="157"/>
    </row>
    <row r="40" spans="1:46" ht="20.149999999999999" customHeight="1">
      <c r="A40" s="158">
        <v>11</v>
      </c>
      <c r="B40" s="159"/>
      <c r="C40" s="160"/>
      <c r="D40" s="161"/>
      <c r="E40" s="161"/>
      <c r="F40" s="162" t="s">
        <v>2</v>
      </c>
      <c r="G40" s="163"/>
      <c r="H40" s="59" t="s">
        <v>2</v>
      </c>
      <c r="I40" s="59" t="s">
        <v>2</v>
      </c>
      <c r="J40" s="59" t="s">
        <v>2</v>
      </c>
      <c r="K40" s="59" t="s">
        <v>2</v>
      </c>
      <c r="L40" s="162" t="s">
        <v>2</v>
      </c>
      <c r="M40" s="163"/>
      <c r="N40" s="59" t="s">
        <v>2</v>
      </c>
      <c r="O40" s="59" t="s">
        <v>2</v>
      </c>
      <c r="P40" s="59" t="s">
        <v>2</v>
      </c>
      <c r="Q40" s="59" t="s">
        <v>2</v>
      </c>
      <c r="R40" s="162" t="s">
        <v>2</v>
      </c>
      <c r="S40" s="163"/>
      <c r="T40" s="59" t="s">
        <v>2</v>
      </c>
      <c r="U40" s="59" t="s">
        <v>2</v>
      </c>
      <c r="V40" s="163" t="s">
        <v>2</v>
      </c>
      <c r="W40" s="163"/>
      <c r="X40" s="163" t="s">
        <v>2</v>
      </c>
      <c r="Y40" s="163"/>
      <c r="Z40" s="162" t="s">
        <v>2</v>
      </c>
      <c r="AA40" s="163"/>
      <c r="AB40" s="59" t="s">
        <v>2</v>
      </c>
      <c r="AC40" s="59" t="s">
        <v>2</v>
      </c>
      <c r="AD40" s="59" t="s">
        <v>2</v>
      </c>
      <c r="AE40" s="59" t="s">
        <v>2</v>
      </c>
      <c r="AF40" s="60" t="s">
        <v>2</v>
      </c>
      <c r="AG40" s="163" t="s">
        <v>2</v>
      </c>
      <c r="AH40" s="163"/>
      <c r="AI40" s="59" t="s">
        <v>2</v>
      </c>
      <c r="AJ40" s="59" t="s">
        <v>2</v>
      </c>
      <c r="AK40" s="163" t="s">
        <v>2</v>
      </c>
      <c r="AL40" s="164"/>
      <c r="AM40" s="169" cm="1">
        <f t="array" ref="AM40">SUM(COUNTIFS(F40, {"X","/\"}, F$10, "&lt;&gt;"), COUNTIFS(H40:L40, {"X","/\"}, H$10:L$10, "&lt;&gt;"), COUNTIFS(N40:R40, {"X","/\"}, N$10:R$10, "&lt;&gt;"), COUNTIFS(T40:U40, {"X","/\"}, T$10:U$10, "&lt;&gt;"), COUNTIFS(W40:X40, {"X","/\"}, W$10:X$10, "&lt;&gt;"), COUNTIFS(Z40, {"X","/\"}, Z$10, "&lt;&gt;"), COUNTIFS(AB40:AG40, {"X","/\"}, AB$10:AG$10, "&lt;&gt;"), COUNTIFS(AI40:AK40, {"X","/\"}, AI$10:AK$10, "&lt;&gt;"))</f>
        <v>0</v>
      </c>
      <c r="AN40" s="157"/>
      <c r="AO40" s="155" cm="1">
        <f t="array" ref="AO40">SUM(COUNTIFS(F40, {"","/","\"}, F$10, "&lt;&gt;"), COUNTIFS(H40:L40, {"","/","\"}, H$10:L$10, "&lt;&gt;"), COUNTIFS(N40:R40, {"","/","\"}, N$10:R$10, "&lt;&gt;"), COUNTIFS(T40:V40, {"","/","\"}, T$10:V$10, "&lt;&gt;"), COUNTIFS(X40, {"","/","\"}, X$10, "&lt;&gt;"), COUNTIFS(Z40, {"","/","\"}, Z$10, "&lt;&gt;"), COUNTIFS(AB40:AG40, {"","/","\"}, AB$10:AG$10, "&lt;&gt;"), COUNTIFS(AI40:AK40, {"","/","\"}, AI$10:AK$10, "&lt;&gt;"))</f>
        <v>0</v>
      </c>
      <c r="AP40" s="155"/>
      <c r="AQ40" s="156" t="s">
        <v>2</v>
      </c>
      <c r="AR40" s="155"/>
      <c r="AS40" s="155"/>
      <c r="AT40" s="157"/>
    </row>
    <row r="41" spans="1:46" ht="20.149999999999999" customHeight="1">
      <c r="A41" s="158">
        <v>12</v>
      </c>
      <c r="B41" s="159"/>
      <c r="C41" s="160"/>
      <c r="D41" s="161"/>
      <c r="E41" s="161"/>
      <c r="F41" s="162" t="s">
        <v>2</v>
      </c>
      <c r="G41" s="163"/>
      <c r="H41" s="59" t="s">
        <v>2</v>
      </c>
      <c r="I41" s="59" t="s">
        <v>2</v>
      </c>
      <c r="J41" s="59" t="s">
        <v>2</v>
      </c>
      <c r="K41" s="59" t="s">
        <v>2</v>
      </c>
      <c r="L41" s="162" t="s">
        <v>2</v>
      </c>
      <c r="M41" s="163"/>
      <c r="N41" s="59" t="s">
        <v>2</v>
      </c>
      <c r="O41" s="59" t="s">
        <v>2</v>
      </c>
      <c r="P41" s="59" t="s">
        <v>2</v>
      </c>
      <c r="Q41" s="59" t="s">
        <v>2</v>
      </c>
      <c r="R41" s="162" t="s">
        <v>2</v>
      </c>
      <c r="S41" s="163"/>
      <c r="T41" s="59" t="s">
        <v>2</v>
      </c>
      <c r="U41" s="59" t="s">
        <v>2</v>
      </c>
      <c r="V41" s="163" t="s">
        <v>2</v>
      </c>
      <c r="W41" s="163"/>
      <c r="X41" s="163" t="s">
        <v>2</v>
      </c>
      <c r="Y41" s="163"/>
      <c r="Z41" s="162" t="s">
        <v>2</v>
      </c>
      <c r="AA41" s="163"/>
      <c r="AB41" s="59" t="s">
        <v>2</v>
      </c>
      <c r="AC41" s="59" t="s">
        <v>2</v>
      </c>
      <c r="AD41" s="59" t="s">
        <v>2</v>
      </c>
      <c r="AE41" s="59" t="s">
        <v>2</v>
      </c>
      <c r="AF41" s="60" t="s">
        <v>2</v>
      </c>
      <c r="AG41" s="163" t="s">
        <v>2</v>
      </c>
      <c r="AH41" s="163"/>
      <c r="AI41" s="59" t="s">
        <v>2</v>
      </c>
      <c r="AJ41" s="59" t="s">
        <v>2</v>
      </c>
      <c r="AK41" s="163" t="s">
        <v>2</v>
      </c>
      <c r="AL41" s="164"/>
      <c r="AM41" s="169" cm="1">
        <f t="array" ref="AM41">SUM(COUNTIFS(F41, {"X","/\"}, F$10, "&lt;&gt;"), COUNTIFS(H41:L41, {"X","/\"}, H$10:L$10, "&lt;&gt;"), COUNTIFS(N41:R41, {"X","/\"}, N$10:R$10, "&lt;&gt;"), COUNTIFS(T41:U41, {"X","/\"}, T$10:U$10, "&lt;&gt;"), COUNTIFS(W41:X41, {"X","/\"}, W$10:X$10, "&lt;&gt;"), COUNTIFS(Z41, {"X","/\"}, Z$10, "&lt;&gt;"), COUNTIFS(AB41:AG41, {"X","/\"}, AB$10:AG$10, "&lt;&gt;"), COUNTIFS(AI41:AK41, {"X","/\"}, AI$10:AK$10, "&lt;&gt;"))</f>
        <v>0</v>
      </c>
      <c r="AN41" s="157"/>
      <c r="AO41" s="155" cm="1">
        <f t="array" ref="AO41">SUM(COUNTIFS(F41, {"","/","\"}, F$10, "&lt;&gt;"), COUNTIFS(H41:L41, {"","/","\"}, H$10:L$10, "&lt;&gt;"), COUNTIFS(N41:R41, {"","/","\"}, N$10:R$10, "&lt;&gt;"), COUNTIFS(T41:V41, {"","/","\"}, T$10:V$10, "&lt;&gt;"), COUNTIFS(X41, {"","/","\"}, X$10, "&lt;&gt;"), COUNTIFS(Z41, {"","/","\"}, Z$10, "&lt;&gt;"), COUNTIFS(AB41:AG41, {"","/","\"}, AB$10:AG$10, "&lt;&gt;"), COUNTIFS(AI41:AK41, {"","/","\"}, AI$10:AK$10, "&lt;&gt;"))</f>
        <v>0</v>
      </c>
      <c r="AP41" s="155"/>
      <c r="AQ41" s="156" t="s">
        <v>2</v>
      </c>
      <c r="AR41" s="155"/>
      <c r="AS41" s="155"/>
      <c r="AT41" s="157"/>
    </row>
    <row r="42" spans="1:46" ht="20.149999999999999" customHeight="1">
      <c r="A42" s="158">
        <v>13</v>
      </c>
      <c r="B42" s="159"/>
      <c r="C42" s="160"/>
      <c r="D42" s="161"/>
      <c r="E42" s="161"/>
      <c r="F42" s="162" t="s">
        <v>2</v>
      </c>
      <c r="G42" s="163"/>
      <c r="H42" s="59" t="s">
        <v>2</v>
      </c>
      <c r="I42" s="59" t="s">
        <v>2</v>
      </c>
      <c r="J42" s="59" t="s">
        <v>2</v>
      </c>
      <c r="K42" s="59" t="s">
        <v>2</v>
      </c>
      <c r="L42" s="162" t="s">
        <v>2</v>
      </c>
      <c r="M42" s="163"/>
      <c r="N42" s="59" t="s">
        <v>2</v>
      </c>
      <c r="O42" s="59" t="s">
        <v>2</v>
      </c>
      <c r="P42" s="59" t="s">
        <v>2</v>
      </c>
      <c r="Q42" s="59" t="s">
        <v>2</v>
      </c>
      <c r="R42" s="162" t="s">
        <v>2</v>
      </c>
      <c r="S42" s="163"/>
      <c r="T42" s="59" t="s">
        <v>2</v>
      </c>
      <c r="U42" s="59" t="s">
        <v>2</v>
      </c>
      <c r="V42" s="163" t="s">
        <v>2</v>
      </c>
      <c r="W42" s="163"/>
      <c r="X42" s="163" t="s">
        <v>2</v>
      </c>
      <c r="Y42" s="163"/>
      <c r="Z42" s="162" t="s">
        <v>2</v>
      </c>
      <c r="AA42" s="163"/>
      <c r="AB42" s="59" t="s">
        <v>2</v>
      </c>
      <c r="AC42" s="59" t="s">
        <v>2</v>
      </c>
      <c r="AD42" s="59" t="s">
        <v>2</v>
      </c>
      <c r="AE42" s="59" t="s">
        <v>2</v>
      </c>
      <c r="AF42" s="60" t="s">
        <v>2</v>
      </c>
      <c r="AG42" s="163" t="s">
        <v>2</v>
      </c>
      <c r="AH42" s="163"/>
      <c r="AI42" s="59" t="s">
        <v>2</v>
      </c>
      <c r="AJ42" s="59" t="s">
        <v>2</v>
      </c>
      <c r="AK42" s="163" t="s">
        <v>2</v>
      </c>
      <c r="AL42" s="164"/>
      <c r="AM42" s="169" cm="1">
        <f t="array" ref="AM42">SUM(COUNTIFS(F42, {"X","/\"}, F$10, "&lt;&gt;"), COUNTIFS(H42:L42, {"X","/\"}, H$10:L$10, "&lt;&gt;"), COUNTIFS(N42:R42, {"X","/\"}, N$10:R$10, "&lt;&gt;"), COUNTIFS(T42:U42, {"X","/\"}, T$10:U$10, "&lt;&gt;"), COUNTIFS(W42:X42, {"X","/\"}, W$10:X$10, "&lt;&gt;"), COUNTIFS(Z42, {"X","/\"}, Z$10, "&lt;&gt;"), COUNTIFS(AB42:AG42, {"X","/\"}, AB$10:AG$10, "&lt;&gt;"), COUNTIFS(AI42:AK42, {"X","/\"}, AI$10:AK$10, "&lt;&gt;"))</f>
        <v>0</v>
      </c>
      <c r="AN42" s="157"/>
      <c r="AO42" s="155" cm="1">
        <f t="array" ref="AO42">SUM(COUNTIFS(F42, {"","/","\"}, F$10, "&lt;&gt;"), COUNTIFS(H42:L42, {"","/","\"}, H$10:L$10, "&lt;&gt;"), COUNTIFS(N42:R42, {"","/","\"}, N$10:R$10, "&lt;&gt;"), COUNTIFS(T42:V42, {"","/","\"}, T$10:V$10, "&lt;&gt;"), COUNTIFS(X42, {"","/","\"}, X$10, "&lt;&gt;"), COUNTIFS(Z42, {"","/","\"}, Z$10, "&lt;&gt;"), COUNTIFS(AB42:AG42, {"","/","\"}, AB$10:AG$10, "&lt;&gt;"), COUNTIFS(AI42:AK42, {"","/","\"}, AI$10:AK$10, "&lt;&gt;"))</f>
        <v>0</v>
      </c>
      <c r="AP42" s="155"/>
      <c r="AQ42" s="156" t="s">
        <v>2</v>
      </c>
      <c r="AR42" s="155"/>
      <c r="AS42" s="155"/>
      <c r="AT42" s="157"/>
    </row>
    <row r="43" spans="1:46" ht="20.149999999999999" customHeight="1">
      <c r="A43" s="158">
        <v>14</v>
      </c>
      <c r="B43" s="159"/>
      <c r="C43" s="160"/>
      <c r="D43" s="161"/>
      <c r="E43" s="161"/>
      <c r="F43" s="162" t="s">
        <v>2</v>
      </c>
      <c r="G43" s="163"/>
      <c r="H43" s="59" t="s">
        <v>2</v>
      </c>
      <c r="I43" s="59" t="s">
        <v>2</v>
      </c>
      <c r="J43" s="59" t="s">
        <v>2</v>
      </c>
      <c r="K43" s="59" t="s">
        <v>2</v>
      </c>
      <c r="L43" s="162" t="s">
        <v>2</v>
      </c>
      <c r="M43" s="163"/>
      <c r="N43" s="59" t="s">
        <v>2</v>
      </c>
      <c r="O43" s="59" t="s">
        <v>2</v>
      </c>
      <c r="P43" s="59" t="s">
        <v>2</v>
      </c>
      <c r="Q43" s="59" t="s">
        <v>2</v>
      </c>
      <c r="R43" s="162" t="s">
        <v>2</v>
      </c>
      <c r="S43" s="163"/>
      <c r="T43" s="59" t="s">
        <v>2</v>
      </c>
      <c r="U43" s="59" t="s">
        <v>2</v>
      </c>
      <c r="V43" s="163" t="s">
        <v>2</v>
      </c>
      <c r="W43" s="163"/>
      <c r="X43" s="163" t="s">
        <v>2</v>
      </c>
      <c r="Y43" s="163"/>
      <c r="Z43" s="162" t="s">
        <v>2</v>
      </c>
      <c r="AA43" s="163"/>
      <c r="AB43" s="59" t="s">
        <v>2</v>
      </c>
      <c r="AC43" s="59" t="s">
        <v>2</v>
      </c>
      <c r="AD43" s="59" t="s">
        <v>2</v>
      </c>
      <c r="AE43" s="59" t="s">
        <v>2</v>
      </c>
      <c r="AF43" s="60" t="s">
        <v>2</v>
      </c>
      <c r="AG43" s="163" t="s">
        <v>2</v>
      </c>
      <c r="AH43" s="163"/>
      <c r="AI43" s="59" t="s">
        <v>2</v>
      </c>
      <c r="AJ43" s="59" t="s">
        <v>2</v>
      </c>
      <c r="AK43" s="163" t="s">
        <v>2</v>
      </c>
      <c r="AL43" s="164"/>
      <c r="AM43" s="169" cm="1">
        <f t="array" ref="AM43">SUM(COUNTIFS(F43, {"X","/\"}, F$10, "&lt;&gt;"), COUNTIFS(H43:L43, {"X","/\"}, H$10:L$10, "&lt;&gt;"), COUNTIFS(N43:R43, {"X","/\"}, N$10:R$10, "&lt;&gt;"), COUNTIFS(T43:U43, {"X","/\"}, T$10:U$10, "&lt;&gt;"), COUNTIFS(W43:X43, {"X","/\"}, W$10:X$10, "&lt;&gt;"), COUNTIFS(Z43, {"X","/\"}, Z$10, "&lt;&gt;"), COUNTIFS(AB43:AG43, {"X","/\"}, AB$10:AG$10, "&lt;&gt;"), COUNTIFS(AI43:AK43, {"X","/\"}, AI$10:AK$10, "&lt;&gt;"))</f>
        <v>0</v>
      </c>
      <c r="AN43" s="157"/>
      <c r="AO43" s="155" cm="1">
        <f t="array" ref="AO43">SUM(COUNTIFS(F43, {"","/","\"}, F$10, "&lt;&gt;"), COUNTIFS(H43:L43, {"","/","\"}, H$10:L$10, "&lt;&gt;"), COUNTIFS(N43:R43, {"","/","\"}, N$10:R$10, "&lt;&gt;"), COUNTIFS(T43:V43, {"","/","\"}, T$10:V$10, "&lt;&gt;"), COUNTIFS(X43, {"","/","\"}, X$10, "&lt;&gt;"), COUNTIFS(Z43, {"","/","\"}, Z$10, "&lt;&gt;"), COUNTIFS(AB43:AG43, {"","/","\"}, AB$10:AG$10, "&lt;&gt;"), COUNTIFS(AI43:AK43, {"","/","\"}, AI$10:AK$10, "&lt;&gt;"))</f>
        <v>0</v>
      </c>
      <c r="AP43" s="155"/>
      <c r="AQ43" s="156" t="s">
        <v>2</v>
      </c>
      <c r="AR43" s="155"/>
      <c r="AS43" s="155"/>
      <c r="AT43" s="157"/>
    </row>
    <row r="44" spans="1:46" ht="20.149999999999999" customHeight="1">
      <c r="A44" s="158">
        <v>15</v>
      </c>
      <c r="B44" s="159"/>
      <c r="C44" s="160"/>
      <c r="D44" s="161"/>
      <c r="E44" s="161"/>
      <c r="F44" s="162" t="s">
        <v>2</v>
      </c>
      <c r="G44" s="163"/>
      <c r="H44" s="59" t="s">
        <v>2</v>
      </c>
      <c r="I44" s="59" t="s">
        <v>2</v>
      </c>
      <c r="J44" s="59" t="s">
        <v>2</v>
      </c>
      <c r="K44" s="59" t="s">
        <v>2</v>
      </c>
      <c r="L44" s="162" t="s">
        <v>2</v>
      </c>
      <c r="M44" s="163"/>
      <c r="N44" s="59" t="s">
        <v>2</v>
      </c>
      <c r="O44" s="59" t="s">
        <v>2</v>
      </c>
      <c r="P44" s="59" t="s">
        <v>2</v>
      </c>
      <c r="Q44" s="59" t="s">
        <v>2</v>
      </c>
      <c r="R44" s="162" t="s">
        <v>2</v>
      </c>
      <c r="S44" s="163"/>
      <c r="T44" s="59" t="s">
        <v>2</v>
      </c>
      <c r="U44" s="59" t="s">
        <v>2</v>
      </c>
      <c r="V44" s="163" t="s">
        <v>2</v>
      </c>
      <c r="W44" s="163"/>
      <c r="X44" s="163" t="s">
        <v>2</v>
      </c>
      <c r="Y44" s="163"/>
      <c r="Z44" s="162" t="s">
        <v>2</v>
      </c>
      <c r="AA44" s="163"/>
      <c r="AB44" s="59" t="s">
        <v>2</v>
      </c>
      <c r="AC44" s="59" t="s">
        <v>2</v>
      </c>
      <c r="AD44" s="59" t="s">
        <v>2</v>
      </c>
      <c r="AE44" s="59" t="s">
        <v>2</v>
      </c>
      <c r="AF44" s="60" t="s">
        <v>2</v>
      </c>
      <c r="AG44" s="163" t="s">
        <v>2</v>
      </c>
      <c r="AH44" s="163"/>
      <c r="AI44" s="59" t="s">
        <v>2</v>
      </c>
      <c r="AJ44" s="59" t="s">
        <v>2</v>
      </c>
      <c r="AK44" s="163" t="s">
        <v>2</v>
      </c>
      <c r="AL44" s="164"/>
      <c r="AM44" s="169" cm="1">
        <f t="array" ref="AM44">SUM(COUNTIFS(F44, {"X","/\"}, F$10, "&lt;&gt;"), COUNTIFS(H44:L44, {"X","/\"}, H$10:L$10, "&lt;&gt;"), COUNTIFS(N44:R44, {"X","/\"}, N$10:R$10, "&lt;&gt;"), COUNTIFS(T44:U44, {"X","/\"}, T$10:U$10, "&lt;&gt;"), COUNTIFS(W44:X44, {"X","/\"}, W$10:X$10, "&lt;&gt;"), COUNTIFS(Z44, {"X","/\"}, Z$10, "&lt;&gt;"), COUNTIFS(AB44:AG44, {"X","/\"}, AB$10:AG$10, "&lt;&gt;"), COUNTIFS(AI44:AK44, {"X","/\"}, AI$10:AK$10, "&lt;&gt;"))</f>
        <v>0</v>
      </c>
      <c r="AN44" s="157"/>
      <c r="AO44" s="155" cm="1">
        <f t="array" ref="AO44">SUM(COUNTIFS(F44, {"","/","\"}, F$10, "&lt;&gt;"), COUNTIFS(H44:L44, {"","/","\"}, H$10:L$10, "&lt;&gt;"), COUNTIFS(N44:R44, {"","/","\"}, N$10:R$10, "&lt;&gt;"), COUNTIFS(T44:V44, {"","/","\"}, T$10:V$10, "&lt;&gt;"), COUNTIFS(X44, {"","/","\"}, X$10, "&lt;&gt;"), COUNTIFS(Z44, {"","/","\"}, Z$10, "&lt;&gt;"), COUNTIFS(AB44:AG44, {"","/","\"}, AB$10:AG$10, "&lt;&gt;"), COUNTIFS(AI44:AK44, {"","/","\"}, AI$10:AK$10, "&lt;&gt;"))</f>
        <v>0</v>
      </c>
      <c r="AP44" s="155"/>
      <c r="AQ44" s="156" t="s">
        <v>2</v>
      </c>
      <c r="AR44" s="155"/>
      <c r="AS44" s="155"/>
      <c r="AT44" s="157"/>
    </row>
    <row r="45" spans="1:46" ht="20.149999999999999" customHeight="1">
      <c r="A45" s="158">
        <v>16</v>
      </c>
      <c r="B45" s="159"/>
      <c r="C45" s="160"/>
      <c r="D45" s="161"/>
      <c r="E45" s="161"/>
      <c r="F45" s="162" t="s">
        <v>2</v>
      </c>
      <c r="G45" s="163"/>
      <c r="H45" s="59" t="s">
        <v>2</v>
      </c>
      <c r="I45" s="59" t="s">
        <v>2</v>
      </c>
      <c r="J45" s="59" t="s">
        <v>2</v>
      </c>
      <c r="K45" s="59" t="s">
        <v>2</v>
      </c>
      <c r="L45" s="162" t="s">
        <v>2</v>
      </c>
      <c r="M45" s="163"/>
      <c r="N45" s="59" t="s">
        <v>2</v>
      </c>
      <c r="O45" s="59" t="s">
        <v>2</v>
      </c>
      <c r="P45" s="59" t="s">
        <v>2</v>
      </c>
      <c r="Q45" s="59" t="s">
        <v>2</v>
      </c>
      <c r="R45" s="162" t="s">
        <v>2</v>
      </c>
      <c r="S45" s="163"/>
      <c r="T45" s="59" t="s">
        <v>2</v>
      </c>
      <c r="U45" s="59" t="s">
        <v>2</v>
      </c>
      <c r="V45" s="163" t="s">
        <v>2</v>
      </c>
      <c r="W45" s="163"/>
      <c r="X45" s="163" t="s">
        <v>2</v>
      </c>
      <c r="Y45" s="163"/>
      <c r="Z45" s="162" t="s">
        <v>2</v>
      </c>
      <c r="AA45" s="163"/>
      <c r="AB45" s="59" t="s">
        <v>2</v>
      </c>
      <c r="AC45" s="59" t="s">
        <v>2</v>
      </c>
      <c r="AD45" s="59" t="s">
        <v>2</v>
      </c>
      <c r="AE45" s="59" t="s">
        <v>2</v>
      </c>
      <c r="AF45" s="60" t="s">
        <v>2</v>
      </c>
      <c r="AG45" s="163" t="s">
        <v>2</v>
      </c>
      <c r="AH45" s="163"/>
      <c r="AI45" s="59" t="s">
        <v>2</v>
      </c>
      <c r="AJ45" s="59" t="s">
        <v>2</v>
      </c>
      <c r="AK45" s="163" t="s">
        <v>2</v>
      </c>
      <c r="AL45" s="164"/>
      <c r="AM45" s="169" cm="1">
        <f t="array" ref="AM45">SUM(COUNTIFS(F45, {"X","/\"}, F$10, "&lt;&gt;"), COUNTIFS(H45:L45, {"X","/\"}, H$10:L$10, "&lt;&gt;"), COUNTIFS(N45:R45, {"X","/\"}, N$10:R$10, "&lt;&gt;"), COUNTIFS(T45:U45, {"X","/\"}, T$10:U$10, "&lt;&gt;"), COUNTIFS(W45:X45, {"X","/\"}, W$10:X$10, "&lt;&gt;"), COUNTIFS(Z45, {"X","/\"}, Z$10, "&lt;&gt;"), COUNTIFS(AB45:AG45, {"X","/\"}, AB$10:AG$10, "&lt;&gt;"), COUNTIFS(AI45:AK45, {"X","/\"}, AI$10:AK$10, "&lt;&gt;"))</f>
        <v>0</v>
      </c>
      <c r="AN45" s="157"/>
      <c r="AO45" s="155" cm="1">
        <f t="array" ref="AO45">SUM(COUNTIFS(F45, {"","/","\"}, F$10, "&lt;&gt;"), COUNTIFS(H45:L45, {"","/","\"}, H$10:L$10, "&lt;&gt;"), COUNTIFS(N45:R45, {"","/","\"}, N$10:R$10, "&lt;&gt;"), COUNTIFS(T45:V45, {"","/","\"}, T$10:V$10, "&lt;&gt;"), COUNTIFS(X45, {"","/","\"}, X$10, "&lt;&gt;"), COUNTIFS(Z45, {"","/","\"}, Z$10, "&lt;&gt;"), COUNTIFS(AB45:AG45, {"","/","\"}, AB$10:AG$10, "&lt;&gt;"), COUNTIFS(AI45:AK45, {"","/","\"}, AI$10:AK$10, "&lt;&gt;"))</f>
        <v>0</v>
      </c>
      <c r="AP45" s="155"/>
      <c r="AQ45" s="156" t="s">
        <v>2</v>
      </c>
      <c r="AR45" s="155"/>
      <c r="AS45" s="155"/>
      <c r="AT45" s="157"/>
    </row>
    <row r="46" spans="1:46" ht="20.149999999999999" customHeight="1">
      <c r="A46" s="158">
        <v>17</v>
      </c>
      <c r="B46" s="159"/>
      <c r="C46" s="160"/>
      <c r="D46" s="161"/>
      <c r="E46" s="161"/>
      <c r="F46" s="162" t="s">
        <v>2</v>
      </c>
      <c r="G46" s="163"/>
      <c r="H46" s="59" t="s">
        <v>2</v>
      </c>
      <c r="I46" s="59" t="s">
        <v>2</v>
      </c>
      <c r="J46" s="59" t="s">
        <v>2</v>
      </c>
      <c r="K46" s="59" t="s">
        <v>2</v>
      </c>
      <c r="L46" s="162" t="s">
        <v>2</v>
      </c>
      <c r="M46" s="163"/>
      <c r="N46" s="59" t="s">
        <v>2</v>
      </c>
      <c r="O46" s="59" t="s">
        <v>2</v>
      </c>
      <c r="P46" s="59" t="s">
        <v>2</v>
      </c>
      <c r="Q46" s="59" t="s">
        <v>2</v>
      </c>
      <c r="R46" s="162" t="s">
        <v>2</v>
      </c>
      <c r="S46" s="163"/>
      <c r="T46" s="59" t="s">
        <v>2</v>
      </c>
      <c r="U46" s="59" t="s">
        <v>2</v>
      </c>
      <c r="V46" s="163" t="s">
        <v>2</v>
      </c>
      <c r="W46" s="163"/>
      <c r="X46" s="163" t="s">
        <v>2</v>
      </c>
      <c r="Y46" s="163"/>
      <c r="Z46" s="162" t="s">
        <v>2</v>
      </c>
      <c r="AA46" s="163"/>
      <c r="AB46" s="59" t="s">
        <v>2</v>
      </c>
      <c r="AC46" s="59" t="s">
        <v>2</v>
      </c>
      <c r="AD46" s="59" t="s">
        <v>2</v>
      </c>
      <c r="AE46" s="59" t="s">
        <v>2</v>
      </c>
      <c r="AF46" s="60" t="s">
        <v>2</v>
      </c>
      <c r="AG46" s="163" t="s">
        <v>2</v>
      </c>
      <c r="AH46" s="163"/>
      <c r="AI46" s="59" t="s">
        <v>2</v>
      </c>
      <c r="AJ46" s="59" t="s">
        <v>2</v>
      </c>
      <c r="AK46" s="163" t="s">
        <v>2</v>
      </c>
      <c r="AL46" s="164"/>
      <c r="AM46" s="169" cm="1">
        <f t="array" ref="AM46">SUM(COUNTIFS(F46, {"X","/\"}, F$10, "&lt;&gt;"), COUNTIFS(H46:L46, {"X","/\"}, H$10:L$10, "&lt;&gt;"), COUNTIFS(N46:R46, {"X","/\"}, N$10:R$10, "&lt;&gt;"), COUNTIFS(T46:U46, {"X","/\"}, T$10:U$10, "&lt;&gt;"), COUNTIFS(W46:X46, {"X","/\"}, W$10:X$10, "&lt;&gt;"), COUNTIFS(Z46, {"X","/\"}, Z$10, "&lt;&gt;"), COUNTIFS(AB46:AG46, {"X","/\"}, AB$10:AG$10, "&lt;&gt;"), COUNTIFS(AI46:AK46, {"X","/\"}, AI$10:AK$10, "&lt;&gt;"))</f>
        <v>0</v>
      </c>
      <c r="AN46" s="157"/>
      <c r="AO46" s="155" cm="1">
        <f t="array" ref="AO46">SUM(COUNTIFS(F46, {"","/","\"}, F$10, "&lt;&gt;"), COUNTIFS(H46:L46, {"","/","\"}, H$10:L$10, "&lt;&gt;"), COUNTIFS(N46:R46, {"","/","\"}, N$10:R$10, "&lt;&gt;"), COUNTIFS(T46:V46, {"","/","\"}, T$10:V$10, "&lt;&gt;"), COUNTIFS(X46, {"","/","\"}, X$10, "&lt;&gt;"), COUNTIFS(Z46, {"","/","\"}, Z$10, "&lt;&gt;"), COUNTIFS(AB46:AG46, {"","/","\"}, AB$10:AG$10, "&lt;&gt;"), COUNTIFS(AI46:AK46, {"","/","\"}, AI$10:AK$10, "&lt;&gt;"))</f>
        <v>0</v>
      </c>
      <c r="AP46" s="155"/>
      <c r="AQ46" s="156" t="s">
        <v>2</v>
      </c>
      <c r="AR46" s="155"/>
      <c r="AS46" s="155"/>
      <c r="AT46" s="157"/>
    </row>
    <row r="47" spans="1:46" ht="20.149999999999999" customHeight="1">
      <c r="A47" s="158">
        <v>18</v>
      </c>
      <c r="B47" s="159"/>
      <c r="C47" s="160"/>
      <c r="D47" s="161"/>
      <c r="E47" s="161"/>
      <c r="F47" s="162" t="s">
        <v>2</v>
      </c>
      <c r="G47" s="163"/>
      <c r="H47" s="59" t="s">
        <v>2</v>
      </c>
      <c r="I47" s="59" t="s">
        <v>2</v>
      </c>
      <c r="J47" s="59" t="s">
        <v>2</v>
      </c>
      <c r="K47" s="59" t="s">
        <v>2</v>
      </c>
      <c r="L47" s="162" t="s">
        <v>2</v>
      </c>
      <c r="M47" s="163"/>
      <c r="N47" s="59" t="s">
        <v>2</v>
      </c>
      <c r="O47" s="59" t="s">
        <v>2</v>
      </c>
      <c r="P47" s="59" t="s">
        <v>2</v>
      </c>
      <c r="Q47" s="59" t="s">
        <v>2</v>
      </c>
      <c r="R47" s="162" t="s">
        <v>2</v>
      </c>
      <c r="S47" s="163"/>
      <c r="T47" s="59" t="s">
        <v>2</v>
      </c>
      <c r="U47" s="59" t="s">
        <v>2</v>
      </c>
      <c r="V47" s="163" t="s">
        <v>2</v>
      </c>
      <c r="W47" s="163"/>
      <c r="X47" s="163" t="s">
        <v>2</v>
      </c>
      <c r="Y47" s="163"/>
      <c r="Z47" s="162" t="s">
        <v>2</v>
      </c>
      <c r="AA47" s="163"/>
      <c r="AB47" s="59" t="s">
        <v>2</v>
      </c>
      <c r="AC47" s="59" t="s">
        <v>2</v>
      </c>
      <c r="AD47" s="59" t="s">
        <v>2</v>
      </c>
      <c r="AE47" s="59" t="s">
        <v>2</v>
      </c>
      <c r="AF47" s="60" t="s">
        <v>2</v>
      </c>
      <c r="AG47" s="163" t="s">
        <v>2</v>
      </c>
      <c r="AH47" s="163"/>
      <c r="AI47" s="59" t="s">
        <v>2</v>
      </c>
      <c r="AJ47" s="59" t="s">
        <v>2</v>
      </c>
      <c r="AK47" s="163" t="s">
        <v>2</v>
      </c>
      <c r="AL47" s="164"/>
      <c r="AM47" s="169" cm="1">
        <f t="array" ref="AM47">SUM(COUNTIFS(F47, {"X","/\"}, F$10, "&lt;&gt;"), COUNTIFS(H47:L47, {"X","/\"}, H$10:L$10, "&lt;&gt;"), COUNTIFS(N47:R47, {"X","/\"}, N$10:R$10, "&lt;&gt;"), COUNTIFS(T47:U47, {"X","/\"}, T$10:U$10, "&lt;&gt;"), COUNTIFS(W47:X47, {"X","/\"}, W$10:X$10, "&lt;&gt;"), COUNTIFS(Z47, {"X","/\"}, Z$10, "&lt;&gt;"), COUNTIFS(AB47:AG47, {"X","/\"}, AB$10:AG$10, "&lt;&gt;"), COUNTIFS(AI47:AK47, {"X","/\"}, AI$10:AK$10, "&lt;&gt;"))</f>
        <v>0</v>
      </c>
      <c r="AN47" s="157"/>
      <c r="AO47" s="155" cm="1">
        <f t="array" ref="AO47">SUM(COUNTIFS(F47, {"","/","\"}, F$10, "&lt;&gt;"), COUNTIFS(H47:L47, {"","/","\"}, H$10:L$10, "&lt;&gt;"), COUNTIFS(N47:R47, {"","/","\"}, N$10:R$10, "&lt;&gt;"), COUNTIFS(T47:V47, {"","/","\"}, T$10:V$10, "&lt;&gt;"), COUNTIFS(X47, {"","/","\"}, X$10, "&lt;&gt;"), COUNTIFS(Z47, {"","/","\"}, Z$10, "&lt;&gt;"), COUNTIFS(AB47:AG47, {"","/","\"}, AB$10:AG$10, "&lt;&gt;"), COUNTIFS(AI47:AK47, {"","/","\"}, AI$10:AK$10, "&lt;&gt;"))</f>
        <v>0</v>
      </c>
      <c r="AP47" s="155"/>
      <c r="AQ47" s="156" t="s">
        <v>2</v>
      </c>
      <c r="AR47" s="155"/>
      <c r="AS47" s="155"/>
      <c r="AT47" s="157"/>
    </row>
    <row r="48" spans="1:46" ht="20.149999999999999" customHeight="1">
      <c r="A48" s="158">
        <v>19</v>
      </c>
      <c r="B48" s="159"/>
      <c r="C48" s="160"/>
      <c r="D48" s="161"/>
      <c r="E48" s="161"/>
      <c r="F48" s="162" t="s">
        <v>2</v>
      </c>
      <c r="G48" s="163"/>
      <c r="H48" s="59" t="s">
        <v>2</v>
      </c>
      <c r="I48" s="59" t="s">
        <v>2</v>
      </c>
      <c r="J48" s="59" t="s">
        <v>2</v>
      </c>
      <c r="K48" s="59" t="s">
        <v>2</v>
      </c>
      <c r="L48" s="162" t="s">
        <v>2</v>
      </c>
      <c r="M48" s="163"/>
      <c r="N48" s="59" t="s">
        <v>2</v>
      </c>
      <c r="O48" s="59" t="s">
        <v>2</v>
      </c>
      <c r="P48" s="59" t="s">
        <v>2</v>
      </c>
      <c r="Q48" s="59" t="s">
        <v>2</v>
      </c>
      <c r="R48" s="162" t="s">
        <v>2</v>
      </c>
      <c r="S48" s="163"/>
      <c r="T48" s="59" t="s">
        <v>2</v>
      </c>
      <c r="U48" s="59" t="s">
        <v>2</v>
      </c>
      <c r="V48" s="163" t="s">
        <v>2</v>
      </c>
      <c r="W48" s="163"/>
      <c r="X48" s="163" t="s">
        <v>2</v>
      </c>
      <c r="Y48" s="163"/>
      <c r="Z48" s="162" t="s">
        <v>2</v>
      </c>
      <c r="AA48" s="163"/>
      <c r="AB48" s="59" t="s">
        <v>2</v>
      </c>
      <c r="AC48" s="59" t="s">
        <v>2</v>
      </c>
      <c r="AD48" s="59" t="s">
        <v>2</v>
      </c>
      <c r="AE48" s="59" t="s">
        <v>2</v>
      </c>
      <c r="AF48" s="60" t="s">
        <v>2</v>
      </c>
      <c r="AG48" s="163" t="s">
        <v>2</v>
      </c>
      <c r="AH48" s="163"/>
      <c r="AI48" s="59" t="s">
        <v>2</v>
      </c>
      <c r="AJ48" s="59" t="s">
        <v>2</v>
      </c>
      <c r="AK48" s="163" t="s">
        <v>2</v>
      </c>
      <c r="AL48" s="164"/>
      <c r="AM48" s="169" cm="1">
        <f t="array" ref="AM48">SUM(COUNTIFS(F48, {"X","/\"}, F$10, "&lt;&gt;"), COUNTIFS(H48:L48, {"X","/\"}, H$10:L$10, "&lt;&gt;"), COUNTIFS(N48:R48, {"X","/\"}, N$10:R$10, "&lt;&gt;"), COUNTIFS(T48:U48, {"X","/\"}, T$10:U$10, "&lt;&gt;"), COUNTIFS(W48:X48, {"X","/\"}, W$10:X$10, "&lt;&gt;"), COUNTIFS(Z48, {"X","/\"}, Z$10, "&lt;&gt;"), COUNTIFS(AB48:AG48, {"X","/\"}, AB$10:AG$10, "&lt;&gt;"), COUNTIFS(AI48:AK48, {"X","/\"}, AI$10:AK$10, "&lt;&gt;"))</f>
        <v>0</v>
      </c>
      <c r="AN48" s="157"/>
      <c r="AO48" s="155" cm="1">
        <f t="array" ref="AO48">SUM(COUNTIFS(F48, {"","/","\"}, F$10, "&lt;&gt;"), COUNTIFS(H48:L48, {"","/","\"}, H$10:L$10, "&lt;&gt;"), COUNTIFS(N48:R48, {"","/","\"}, N$10:R$10, "&lt;&gt;"), COUNTIFS(T48:V48, {"","/","\"}, T$10:V$10, "&lt;&gt;"), COUNTIFS(X48, {"","/","\"}, X$10, "&lt;&gt;"), COUNTIFS(Z48, {"","/","\"}, Z$10, "&lt;&gt;"), COUNTIFS(AB48:AG48, {"","/","\"}, AB$10:AG$10, "&lt;&gt;"), COUNTIFS(AI48:AK48, {"","/","\"}, AI$10:AK$10, "&lt;&gt;"))</f>
        <v>0</v>
      </c>
      <c r="AP48" s="155"/>
      <c r="AQ48" s="156" t="s">
        <v>2</v>
      </c>
      <c r="AR48" s="155"/>
      <c r="AS48" s="155"/>
      <c r="AT48" s="157"/>
    </row>
    <row r="49" spans="1:46" ht="20.149999999999999" customHeight="1">
      <c r="A49" s="158">
        <v>20</v>
      </c>
      <c r="B49" s="159"/>
      <c r="C49" s="160"/>
      <c r="D49" s="161"/>
      <c r="E49" s="161"/>
      <c r="F49" s="162" t="s">
        <v>2</v>
      </c>
      <c r="G49" s="163"/>
      <c r="H49" s="59" t="s">
        <v>2</v>
      </c>
      <c r="I49" s="59" t="s">
        <v>2</v>
      </c>
      <c r="J49" s="59" t="s">
        <v>2</v>
      </c>
      <c r="K49" s="59" t="s">
        <v>2</v>
      </c>
      <c r="L49" s="162" t="s">
        <v>2</v>
      </c>
      <c r="M49" s="163"/>
      <c r="N49" s="59" t="s">
        <v>2</v>
      </c>
      <c r="O49" s="59" t="s">
        <v>2</v>
      </c>
      <c r="P49" s="59" t="s">
        <v>2</v>
      </c>
      <c r="Q49" s="59" t="s">
        <v>2</v>
      </c>
      <c r="R49" s="162" t="s">
        <v>2</v>
      </c>
      <c r="S49" s="163"/>
      <c r="T49" s="59" t="s">
        <v>2</v>
      </c>
      <c r="U49" s="59" t="s">
        <v>2</v>
      </c>
      <c r="V49" s="163" t="s">
        <v>2</v>
      </c>
      <c r="W49" s="163"/>
      <c r="X49" s="163" t="s">
        <v>2</v>
      </c>
      <c r="Y49" s="163"/>
      <c r="Z49" s="162" t="s">
        <v>2</v>
      </c>
      <c r="AA49" s="163"/>
      <c r="AB49" s="59" t="s">
        <v>2</v>
      </c>
      <c r="AC49" s="59" t="s">
        <v>2</v>
      </c>
      <c r="AD49" s="59" t="s">
        <v>2</v>
      </c>
      <c r="AE49" s="59" t="s">
        <v>2</v>
      </c>
      <c r="AF49" s="60" t="s">
        <v>2</v>
      </c>
      <c r="AG49" s="163" t="s">
        <v>2</v>
      </c>
      <c r="AH49" s="163"/>
      <c r="AI49" s="59" t="s">
        <v>2</v>
      </c>
      <c r="AJ49" s="59" t="s">
        <v>2</v>
      </c>
      <c r="AK49" s="163" t="s">
        <v>2</v>
      </c>
      <c r="AL49" s="164"/>
      <c r="AM49" s="169" cm="1">
        <f t="array" ref="AM49">SUM(COUNTIFS(F49, {"X","/\"}, F$10, "&lt;&gt;"), COUNTIFS(H49:L49, {"X","/\"}, H$10:L$10, "&lt;&gt;"), COUNTIFS(N49:R49, {"X","/\"}, N$10:R$10, "&lt;&gt;"), COUNTIFS(T49:U49, {"X","/\"}, T$10:U$10, "&lt;&gt;"), COUNTIFS(W49:X49, {"X","/\"}, W$10:X$10, "&lt;&gt;"), COUNTIFS(Z49, {"X","/\"}, Z$10, "&lt;&gt;"), COUNTIFS(AB49:AG49, {"X","/\"}, AB$10:AG$10, "&lt;&gt;"), COUNTIFS(AI49:AK49, {"X","/\"}, AI$10:AK$10, "&lt;&gt;"))</f>
        <v>0</v>
      </c>
      <c r="AN49" s="157"/>
      <c r="AO49" s="155" cm="1">
        <f t="array" ref="AO49">SUM(COUNTIFS(F49, {"","/","\"}, F$10, "&lt;&gt;"), COUNTIFS(H49:L49, {"","/","\"}, H$10:L$10, "&lt;&gt;"), COUNTIFS(N49:R49, {"","/","\"}, N$10:R$10, "&lt;&gt;"), COUNTIFS(T49:V49, {"","/","\"}, T$10:V$10, "&lt;&gt;"), COUNTIFS(X49, {"","/","\"}, X$10, "&lt;&gt;"), COUNTIFS(Z49, {"","/","\"}, Z$10, "&lt;&gt;"), COUNTIFS(AB49:AG49, {"","/","\"}, AB$10:AG$10, "&lt;&gt;"), COUNTIFS(AI49:AK49, {"","/","\"}, AI$10:AK$10, "&lt;&gt;"))</f>
        <v>0</v>
      </c>
      <c r="AP49" s="155"/>
      <c r="AQ49" s="156" t="s">
        <v>2</v>
      </c>
      <c r="AR49" s="155"/>
      <c r="AS49" s="155"/>
      <c r="AT49" s="157"/>
    </row>
    <row r="50" spans="1:46" ht="20.149999999999999" customHeight="1">
      <c r="A50" s="158">
        <v>21</v>
      </c>
      <c r="B50" s="159"/>
      <c r="C50" s="160"/>
      <c r="D50" s="161"/>
      <c r="E50" s="161"/>
      <c r="F50" s="162" t="s">
        <v>2</v>
      </c>
      <c r="G50" s="163"/>
      <c r="H50" s="59" t="s">
        <v>2</v>
      </c>
      <c r="I50" s="59" t="s">
        <v>2</v>
      </c>
      <c r="J50" s="59" t="s">
        <v>2</v>
      </c>
      <c r="K50" s="59" t="s">
        <v>2</v>
      </c>
      <c r="L50" s="162" t="s">
        <v>2</v>
      </c>
      <c r="M50" s="163"/>
      <c r="N50" s="59" t="s">
        <v>2</v>
      </c>
      <c r="O50" s="59" t="s">
        <v>2</v>
      </c>
      <c r="P50" s="59" t="s">
        <v>2</v>
      </c>
      <c r="Q50" s="59" t="s">
        <v>2</v>
      </c>
      <c r="R50" s="162" t="s">
        <v>2</v>
      </c>
      <c r="S50" s="163"/>
      <c r="T50" s="59" t="s">
        <v>2</v>
      </c>
      <c r="U50" s="59" t="s">
        <v>2</v>
      </c>
      <c r="V50" s="163" t="s">
        <v>2</v>
      </c>
      <c r="W50" s="163"/>
      <c r="X50" s="163" t="s">
        <v>2</v>
      </c>
      <c r="Y50" s="163"/>
      <c r="Z50" s="162" t="s">
        <v>2</v>
      </c>
      <c r="AA50" s="163"/>
      <c r="AB50" s="59" t="s">
        <v>2</v>
      </c>
      <c r="AC50" s="59" t="s">
        <v>2</v>
      </c>
      <c r="AD50" s="59" t="s">
        <v>2</v>
      </c>
      <c r="AE50" s="59" t="s">
        <v>2</v>
      </c>
      <c r="AF50" s="60" t="s">
        <v>2</v>
      </c>
      <c r="AG50" s="163" t="s">
        <v>2</v>
      </c>
      <c r="AH50" s="163"/>
      <c r="AI50" s="59" t="s">
        <v>2</v>
      </c>
      <c r="AJ50" s="59" t="s">
        <v>2</v>
      </c>
      <c r="AK50" s="163" t="s">
        <v>2</v>
      </c>
      <c r="AL50" s="164"/>
      <c r="AM50" s="169" cm="1">
        <f t="array" ref="AM50">SUM(COUNTIFS(F50, {"X","/\"}, F$10, "&lt;&gt;"), COUNTIFS(H50:L50, {"X","/\"}, H$10:L$10, "&lt;&gt;"), COUNTIFS(N50:R50, {"X","/\"}, N$10:R$10, "&lt;&gt;"), COUNTIFS(T50:U50, {"X","/\"}, T$10:U$10, "&lt;&gt;"), COUNTIFS(W50:X50, {"X","/\"}, W$10:X$10, "&lt;&gt;"), COUNTIFS(Z50, {"X","/\"}, Z$10, "&lt;&gt;"), COUNTIFS(AB50:AG50, {"X","/\"}, AB$10:AG$10, "&lt;&gt;"), COUNTIFS(AI50:AK50, {"X","/\"}, AI$10:AK$10, "&lt;&gt;"))</f>
        <v>0</v>
      </c>
      <c r="AN50" s="157"/>
      <c r="AO50" s="155" cm="1">
        <f t="array" ref="AO50">SUM(COUNTIFS(F50, {"","/","\"}, F$10, "&lt;&gt;"), COUNTIFS(H50:L50, {"","/","\"}, H$10:L$10, "&lt;&gt;"), COUNTIFS(N50:R50, {"","/","\"}, N$10:R$10, "&lt;&gt;"), COUNTIFS(T50:V50, {"","/","\"}, T$10:V$10, "&lt;&gt;"), COUNTIFS(X50, {"","/","\"}, X$10, "&lt;&gt;"), COUNTIFS(Z50, {"","/","\"}, Z$10, "&lt;&gt;"), COUNTIFS(AB50:AG50, {"","/","\"}, AB$10:AG$10, "&lt;&gt;"), COUNTIFS(AI50:AK50, {"","/","\"}, AI$10:AK$10, "&lt;&gt;"))</f>
        <v>0</v>
      </c>
      <c r="AP50" s="155"/>
      <c r="AQ50" s="156" t="s">
        <v>2</v>
      </c>
      <c r="AR50" s="155"/>
      <c r="AS50" s="155"/>
      <c r="AT50" s="157"/>
    </row>
    <row r="51" spans="1:46" ht="20.149999999999999" customHeight="1">
      <c r="A51" s="158">
        <v>22</v>
      </c>
      <c r="B51" s="159"/>
      <c r="C51" s="160"/>
      <c r="D51" s="161"/>
      <c r="E51" s="161"/>
      <c r="F51" s="162" t="s">
        <v>2</v>
      </c>
      <c r="G51" s="163"/>
      <c r="H51" s="59" t="s">
        <v>2</v>
      </c>
      <c r="I51" s="59" t="s">
        <v>2</v>
      </c>
      <c r="J51" s="59" t="s">
        <v>2</v>
      </c>
      <c r="K51" s="59" t="s">
        <v>2</v>
      </c>
      <c r="L51" s="162" t="s">
        <v>2</v>
      </c>
      <c r="M51" s="163"/>
      <c r="N51" s="59" t="s">
        <v>2</v>
      </c>
      <c r="O51" s="59" t="s">
        <v>2</v>
      </c>
      <c r="P51" s="59" t="s">
        <v>2</v>
      </c>
      <c r="Q51" s="59" t="s">
        <v>2</v>
      </c>
      <c r="R51" s="162" t="s">
        <v>2</v>
      </c>
      <c r="S51" s="163"/>
      <c r="T51" s="59" t="s">
        <v>2</v>
      </c>
      <c r="U51" s="59" t="s">
        <v>2</v>
      </c>
      <c r="V51" s="163" t="s">
        <v>2</v>
      </c>
      <c r="W51" s="163"/>
      <c r="X51" s="163" t="s">
        <v>2</v>
      </c>
      <c r="Y51" s="163"/>
      <c r="Z51" s="162" t="s">
        <v>2</v>
      </c>
      <c r="AA51" s="163"/>
      <c r="AB51" s="59" t="s">
        <v>2</v>
      </c>
      <c r="AC51" s="59" t="s">
        <v>2</v>
      </c>
      <c r="AD51" s="59" t="s">
        <v>2</v>
      </c>
      <c r="AE51" s="59" t="s">
        <v>2</v>
      </c>
      <c r="AF51" s="60" t="s">
        <v>2</v>
      </c>
      <c r="AG51" s="163" t="s">
        <v>2</v>
      </c>
      <c r="AH51" s="163"/>
      <c r="AI51" s="59" t="s">
        <v>2</v>
      </c>
      <c r="AJ51" s="59" t="s">
        <v>2</v>
      </c>
      <c r="AK51" s="163" t="s">
        <v>2</v>
      </c>
      <c r="AL51" s="164"/>
      <c r="AM51" s="169" cm="1">
        <f t="array" ref="AM51">SUM(COUNTIFS(F51, {"X","/\"}, F$10, "&lt;&gt;"), COUNTIFS(H51:L51, {"X","/\"}, H$10:L$10, "&lt;&gt;"), COUNTIFS(N51:R51, {"X","/\"}, N$10:R$10, "&lt;&gt;"), COUNTIFS(T51:U51, {"X","/\"}, T$10:U$10, "&lt;&gt;"), COUNTIFS(W51:X51, {"X","/\"}, W$10:X$10, "&lt;&gt;"), COUNTIFS(Z51, {"X","/\"}, Z$10, "&lt;&gt;"), COUNTIFS(AB51:AG51, {"X","/\"}, AB$10:AG$10, "&lt;&gt;"), COUNTIFS(AI51:AK51, {"X","/\"}, AI$10:AK$10, "&lt;&gt;"))</f>
        <v>0</v>
      </c>
      <c r="AN51" s="157"/>
      <c r="AO51" s="155" cm="1">
        <f t="array" ref="AO51">SUM(COUNTIFS(F51, {"","/","\"}, F$10, "&lt;&gt;"), COUNTIFS(H51:L51, {"","/","\"}, H$10:L$10, "&lt;&gt;"), COUNTIFS(N51:R51, {"","/","\"}, N$10:R$10, "&lt;&gt;"), COUNTIFS(T51:V51, {"","/","\"}, T$10:V$10, "&lt;&gt;"), COUNTIFS(X51, {"","/","\"}, X$10, "&lt;&gt;"), COUNTIFS(Z51, {"","/","\"}, Z$10, "&lt;&gt;"), COUNTIFS(AB51:AG51, {"","/","\"}, AB$10:AG$10, "&lt;&gt;"), COUNTIFS(AI51:AK51, {"","/","\"}, AI$10:AK$10, "&lt;&gt;"))</f>
        <v>0</v>
      </c>
      <c r="AP51" s="155"/>
      <c r="AQ51" s="156" t="s">
        <v>2</v>
      </c>
      <c r="AR51" s="155"/>
      <c r="AS51" s="155"/>
      <c r="AT51" s="157"/>
    </row>
    <row r="52" spans="1:46" ht="20.149999999999999" customHeight="1">
      <c r="A52" s="158">
        <v>23</v>
      </c>
      <c r="B52" s="159"/>
      <c r="C52" s="160"/>
      <c r="D52" s="161"/>
      <c r="E52" s="161"/>
      <c r="F52" s="162" t="s">
        <v>2</v>
      </c>
      <c r="G52" s="163"/>
      <c r="H52" s="59" t="s">
        <v>2</v>
      </c>
      <c r="I52" s="59" t="s">
        <v>2</v>
      </c>
      <c r="J52" s="59" t="s">
        <v>2</v>
      </c>
      <c r="K52" s="59" t="s">
        <v>2</v>
      </c>
      <c r="L52" s="162" t="s">
        <v>2</v>
      </c>
      <c r="M52" s="163"/>
      <c r="N52" s="59" t="s">
        <v>2</v>
      </c>
      <c r="O52" s="59" t="s">
        <v>2</v>
      </c>
      <c r="P52" s="59" t="s">
        <v>2</v>
      </c>
      <c r="Q52" s="59" t="s">
        <v>2</v>
      </c>
      <c r="R52" s="162" t="s">
        <v>2</v>
      </c>
      <c r="S52" s="163"/>
      <c r="T52" s="59" t="s">
        <v>2</v>
      </c>
      <c r="U52" s="59" t="s">
        <v>2</v>
      </c>
      <c r="V52" s="163" t="s">
        <v>2</v>
      </c>
      <c r="W52" s="163"/>
      <c r="X52" s="163" t="s">
        <v>2</v>
      </c>
      <c r="Y52" s="163"/>
      <c r="Z52" s="162" t="s">
        <v>2</v>
      </c>
      <c r="AA52" s="163"/>
      <c r="AB52" s="59" t="s">
        <v>2</v>
      </c>
      <c r="AC52" s="59" t="s">
        <v>2</v>
      </c>
      <c r="AD52" s="59" t="s">
        <v>2</v>
      </c>
      <c r="AE52" s="59" t="s">
        <v>2</v>
      </c>
      <c r="AF52" s="60" t="s">
        <v>2</v>
      </c>
      <c r="AG52" s="163" t="s">
        <v>2</v>
      </c>
      <c r="AH52" s="163"/>
      <c r="AI52" s="59" t="s">
        <v>2</v>
      </c>
      <c r="AJ52" s="59" t="s">
        <v>2</v>
      </c>
      <c r="AK52" s="163" t="s">
        <v>2</v>
      </c>
      <c r="AL52" s="164"/>
      <c r="AM52" s="169" cm="1">
        <f t="array" ref="AM52">SUM(COUNTIFS(F52, {"X","/\"}, F$10, "&lt;&gt;"), COUNTIFS(H52:L52, {"X","/\"}, H$10:L$10, "&lt;&gt;"), COUNTIFS(N52:R52, {"X","/\"}, N$10:R$10, "&lt;&gt;"), COUNTIFS(T52:U52, {"X","/\"}, T$10:U$10, "&lt;&gt;"), COUNTIFS(W52:X52, {"X","/\"}, W$10:X$10, "&lt;&gt;"), COUNTIFS(Z52, {"X","/\"}, Z$10, "&lt;&gt;"), COUNTIFS(AB52:AG52, {"X","/\"}, AB$10:AG$10, "&lt;&gt;"), COUNTIFS(AI52:AK52, {"X","/\"}, AI$10:AK$10, "&lt;&gt;"))</f>
        <v>0</v>
      </c>
      <c r="AN52" s="157"/>
      <c r="AO52" s="155" cm="1">
        <f t="array" ref="AO52">SUM(COUNTIFS(F52, {"","/","\"}, F$10, "&lt;&gt;"), COUNTIFS(H52:L52, {"","/","\"}, H$10:L$10, "&lt;&gt;"), COUNTIFS(N52:R52, {"","/","\"}, N$10:R$10, "&lt;&gt;"), COUNTIFS(T52:V52, {"","/","\"}, T$10:V$10, "&lt;&gt;"), COUNTIFS(X52, {"","/","\"}, X$10, "&lt;&gt;"), COUNTIFS(Z52, {"","/","\"}, Z$10, "&lt;&gt;"), COUNTIFS(AB52:AG52, {"","/","\"}, AB$10:AG$10, "&lt;&gt;"), COUNTIFS(AI52:AK52, {"","/","\"}, AI$10:AK$10, "&lt;&gt;"))</f>
        <v>0</v>
      </c>
      <c r="AP52" s="155"/>
      <c r="AQ52" s="156" t="s">
        <v>2</v>
      </c>
      <c r="AR52" s="155"/>
      <c r="AS52" s="155"/>
      <c r="AT52" s="157"/>
    </row>
    <row r="53" spans="1:46" ht="20.149999999999999" customHeight="1">
      <c r="A53" s="158">
        <v>24</v>
      </c>
      <c r="B53" s="159"/>
      <c r="C53" s="160"/>
      <c r="D53" s="161"/>
      <c r="E53" s="161"/>
      <c r="F53" s="162" t="s">
        <v>2</v>
      </c>
      <c r="G53" s="163"/>
      <c r="H53" s="59" t="s">
        <v>2</v>
      </c>
      <c r="I53" s="59" t="s">
        <v>2</v>
      </c>
      <c r="J53" s="59" t="s">
        <v>2</v>
      </c>
      <c r="K53" s="59" t="s">
        <v>2</v>
      </c>
      <c r="L53" s="162" t="s">
        <v>2</v>
      </c>
      <c r="M53" s="163"/>
      <c r="N53" s="59" t="s">
        <v>2</v>
      </c>
      <c r="O53" s="59" t="s">
        <v>2</v>
      </c>
      <c r="P53" s="59" t="s">
        <v>2</v>
      </c>
      <c r="Q53" s="59" t="s">
        <v>2</v>
      </c>
      <c r="R53" s="162" t="s">
        <v>2</v>
      </c>
      <c r="S53" s="163"/>
      <c r="T53" s="59" t="s">
        <v>2</v>
      </c>
      <c r="U53" s="59" t="s">
        <v>2</v>
      </c>
      <c r="V53" s="163" t="s">
        <v>2</v>
      </c>
      <c r="W53" s="163"/>
      <c r="X53" s="163" t="s">
        <v>2</v>
      </c>
      <c r="Y53" s="163"/>
      <c r="Z53" s="162" t="s">
        <v>2</v>
      </c>
      <c r="AA53" s="163"/>
      <c r="AB53" s="59" t="s">
        <v>2</v>
      </c>
      <c r="AC53" s="59" t="s">
        <v>2</v>
      </c>
      <c r="AD53" s="59" t="s">
        <v>2</v>
      </c>
      <c r="AE53" s="59" t="s">
        <v>2</v>
      </c>
      <c r="AF53" s="60" t="s">
        <v>2</v>
      </c>
      <c r="AG53" s="163" t="s">
        <v>2</v>
      </c>
      <c r="AH53" s="163"/>
      <c r="AI53" s="59" t="s">
        <v>2</v>
      </c>
      <c r="AJ53" s="59" t="s">
        <v>2</v>
      </c>
      <c r="AK53" s="163" t="s">
        <v>2</v>
      </c>
      <c r="AL53" s="164"/>
      <c r="AM53" s="169" cm="1">
        <f t="array" ref="AM53">SUM(COUNTIFS(F53, {"X","/\"}, F$10, "&lt;&gt;"), COUNTIFS(H53:L53, {"X","/\"}, H$10:L$10, "&lt;&gt;"), COUNTIFS(N53:R53, {"X","/\"}, N$10:R$10, "&lt;&gt;"), COUNTIFS(T53:U53, {"X","/\"}, T$10:U$10, "&lt;&gt;"), COUNTIFS(W53:X53, {"X","/\"}, W$10:X$10, "&lt;&gt;"), COUNTIFS(Z53, {"X","/\"}, Z$10, "&lt;&gt;"), COUNTIFS(AB53:AG53, {"X","/\"}, AB$10:AG$10, "&lt;&gt;"), COUNTIFS(AI53:AK53, {"X","/\"}, AI$10:AK$10, "&lt;&gt;"))</f>
        <v>0</v>
      </c>
      <c r="AN53" s="157"/>
      <c r="AO53" s="155" cm="1">
        <f t="array" ref="AO53">SUM(COUNTIFS(F53, {"","/","\"}, F$10, "&lt;&gt;"), COUNTIFS(H53:L53, {"","/","\"}, H$10:L$10, "&lt;&gt;"), COUNTIFS(N53:R53, {"","/","\"}, N$10:R$10, "&lt;&gt;"), COUNTIFS(T53:V53, {"","/","\"}, T$10:V$10, "&lt;&gt;"), COUNTIFS(X53, {"","/","\"}, X$10, "&lt;&gt;"), COUNTIFS(Z53, {"","/","\"}, Z$10, "&lt;&gt;"), COUNTIFS(AB53:AG53, {"","/","\"}, AB$10:AG$10, "&lt;&gt;"), COUNTIFS(AI53:AK53, {"","/","\"}, AI$10:AK$10, "&lt;&gt;"))</f>
        <v>0</v>
      </c>
      <c r="AP53" s="155"/>
      <c r="AQ53" s="156" t="s">
        <v>2</v>
      </c>
      <c r="AR53" s="155"/>
      <c r="AS53" s="155"/>
      <c r="AT53" s="157"/>
    </row>
    <row r="54" spans="1:46" ht="20.149999999999999" customHeight="1">
      <c r="A54" s="158">
        <v>25</v>
      </c>
      <c r="B54" s="159"/>
      <c r="C54" s="160"/>
      <c r="D54" s="161"/>
      <c r="E54" s="161"/>
      <c r="F54" s="162" t="s">
        <v>2</v>
      </c>
      <c r="G54" s="163"/>
      <c r="H54" s="59" t="s">
        <v>2</v>
      </c>
      <c r="I54" s="59" t="s">
        <v>2</v>
      </c>
      <c r="J54" s="59" t="s">
        <v>2</v>
      </c>
      <c r="K54" s="59" t="s">
        <v>2</v>
      </c>
      <c r="L54" s="162" t="s">
        <v>2</v>
      </c>
      <c r="M54" s="163"/>
      <c r="N54" s="59" t="s">
        <v>2</v>
      </c>
      <c r="O54" s="59" t="s">
        <v>2</v>
      </c>
      <c r="P54" s="59" t="s">
        <v>2</v>
      </c>
      <c r="Q54" s="59" t="s">
        <v>2</v>
      </c>
      <c r="R54" s="162" t="s">
        <v>2</v>
      </c>
      <c r="S54" s="163"/>
      <c r="T54" s="59" t="s">
        <v>2</v>
      </c>
      <c r="U54" s="59" t="s">
        <v>2</v>
      </c>
      <c r="V54" s="163" t="s">
        <v>2</v>
      </c>
      <c r="W54" s="163"/>
      <c r="X54" s="163" t="s">
        <v>2</v>
      </c>
      <c r="Y54" s="163"/>
      <c r="Z54" s="162" t="s">
        <v>2</v>
      </c>
      <c r="AA54" s="163"/>
      <c r="AB54" s="59" t="s">
        <v>2</v>
      </c>
      <c r="AC54" s="59" t="s">
        <v>2</v>
      </c>
      <c r="AD54" s="59" t="s">
        <v>2</v>
      </c>
      <c r="AE54" s="59" t="s">
        <v>2</v>
      </c>
      <c r="AF54" s="60" t="s">
        <v>2</v>
      </c>
      <c r="AG54" s="163" t="s">
        <v>2</v>
      </c>
      <c r="AH54" s="163"/>
      <c r="AI54" s="59" t="s">
        <v>2</v>
      </c>
      <c r="AJ54" s="59" t="s">
        <v>2</v>
      </c>
      <c r="AK54" s="163" t="s">
        <v>2</v>
      </c>
      <c r="AL54" s="164"/>
      <c r="AM54" s="169" cm="1">
        <f t="array" ref="AM54">SUM(COUNTIFS(F54, {"X","/\"}, F$10, "&lt;&gt;"), COUNTIFS(H54:L54, {"X","/\"}, H$10:L$10, "&lt;&gt;"), COUNTIFS(N54:R54, {"X","/\"}, N$10:R$10, "&lt;&gt;"), COUNTIFS(T54:U54, {"X","/\"}, T$10:U$10, "&lt;&gt;"), COUNTIFS(W54:X54, {"X","/\"}, W$10:X$10, "&lt;&gt;"), COUNTIFS(Z54, {"X","/\"}, Z$10, "&lt;&gt;"), COUNTIFS(AB54:AG54, {"X","/\"}, AB$10:AG$10, "&lt;&gt;"), COUNTIFS(AI54:AK54, {"X","/\"}, AI$10:AK$10, "&lt;&gt;"))</f>
        <v>0</v>
      </c>
      <c r="AN54" s="157"/>
      <c r="AO54" s="155" cm="1">
        <f t="array" ref="AO54">SUM(COUNTIFS(F54, {"","/","\"}, F$10, "&lt;&gt;"), COUNTIFS(H54:L54, {"","/","\"}, H$10:L$10, "&lt;&gt;"), COUNTIFS(N54:R54, {"","/","\"}, N$10:R$10, "&lt;&gt;"), COUNTIFS(T54:V54, {"","/","\"}, T$10:V$10, "&lt;&gt;"), COUNTIFS(X54, {"","/","\"}, X$10, "&lt;&gt;"), COUNTIFS(Z54, {"","/","\"}, Z$10, "&lt;&gt;"), COUNTIFS(AB54:AG54, {"","/","\"}, AB$10:AG$10, "&lt;&gt;"), COUNTIFS(AI54:AK54, {"","/","\"}, AI$10:AK$10, "&lt;&gt;"))</f>
        <v>0</v>
      </c>
      <c r="AP54" s="155"/>
      <c r="AQ54" s="156" t="s">
        <v>2</v>
      </c>
      <c r="AR54" s="155"/>
      <c r="AS54" s="155"/>
      <c r="AT54" s="157"/>
    </row>
    <row r="55" spans="1:46" ht="20.149999999999999" customHeight="1">
      <c r="A55" s="158">
        <v>26</v>
      </c>
      <c r="B55" s="159"/>
      <c r="C55" s="160"/>
      <c r="D55" s="161"/>
      <c r="E55" s="161"/>
      <c r="F55" s="162" t="s">
        <v>2</v>
      </c>
      <c r="G55" s="163"/>
      <c r="H55" s="59" t="s">
        <v>2</v>
      </c>
      <c r="I55" s="59" t="s">
        <v>2</v>
      </c>
      <c r="J55" s="59" t="s">
        <v>2</v>
      </c>
      <c r="K55" s="59" t="s">
        <v>2</v>
      </c>
      <c r="L55" s="162" t="s">
        <v>2</v>
      </c>
      <c r="M55" s="163"/>
      <c r="N55" s="59" t="s">
        <v>2</v>
      </c>
      <c r="O55" s="59" t="s">
        <v>2</v>
      </c>
      <c r="P55" s="59" t="s">
        <v>2</v>
      </c>
      <c r="Q55" s="59" t="s">
        <v>2</v>
      </c>
      <c r="R55" s="162" t="s">
        <v>2</v>
      </c>
      <c r="S55" s="163"/>
      <c r="T55" s="59" t="s">
        <v>2</v>
      </c>
      <c r="U55" s="59" t="s">
        <v>2</v>
      </c>
      <c r="V55" s="163" t="s">
        <v>2</v>
      </c>
      <c r="W55" s="163"/>
      <c r="X55" s="163" t="s">
        <v>2</v>
      </c>
      <c r="Y55" s="163"/>
      <c r="Z55" s="162" t="s">
        <v>2</v>
      </c>
      <c r="AA55" s="163"/>
      <c r="AB55" s="59" t="s">
        <v>2</v>
      </c>
      <c r="AC55" s="59" t="s">
        <v>2</v>
      </c>
      <c r="AD55" s="59" t="s">
        <v>2</v>
      </c>
      <c r="AE55" s="59" t="s">
        <v>2</v>
      </c>
      <c r="AF55" s="60" t="s">
        <v>2</v>
      </c>
      <c r="AG55" s="163" t="s">
        <v>2</v>
      </c>
      <c r="AH55" s="163"/>
      <c r="AI55" s="59" t="s">
        <v>2</v>
      </c>
      <c r="AJ55" s="59" t="s">
        <v>2</v>
      </c>
      <c r="AK55" s="163" t="s">
        <v>2</v>
      </c>
      <c r="AL55" s="164"/>
      <c r="AM55" s="169" cm="1">
        <f t="array" ref="AM55">SUM(COUNTIFS(F55, {"X","/\"}, F$10, "&lt;&gt;"), COUNTIFS(H55:L55, {"X","/\"}, H$10:L$10, "&lt;&gt;"), COUNTIFS(N55:R55, {"X","/\"}, N$10:R$10, "&lt;&gt;"), COUNTIFS(T55:U55, {"X","/\"}, T$10:U$10, "&lt;&gt;"), COUNTIFS(W55:X55, {"X","/\"}, W$10:X$10, "&lt;&gt;"), COUNTIFS(Z55, {"X","/\"}, Z$10, "&lt;&gt;"), COUNTIFS(AB55:AG55, {"X","/\"}, AB$10:AG$10, "&lt;&gt;"), COUNTIFS(AI55:AK55, {"X","/\"}, AI$10:AK$10, "&lt;&gt;"))</f>
        <v>0</v>
      </c>
      <c r="AN55" s="157"/>
      <c r="AO55" s="155" cm="1">
        <f t="array" ref="AO55">SUM(COUNTIFS(F55, {"","/","\"}, F$10, "&lt;&gt;"), COUNTIFS(H55:L55, {"","/","\"}, H$10:L$10, "&lt;&gt;"), COUNTIFS(N55:R55, {"","/","\"}, N$10:R$10, "&lt;&gt;"), COUNTIFS(T55:V55, {"","/","\"}, T$10:V$10, "&lt;&gt;"), COUNTIFS(X55, {"","/","\"}, X$10, "&lt;&gt;"), COUNTIFS(Z55, {"","/","\"}, Z$10, "&lt;&gt;"), COUNTIFS(AB55:AG55, {"","/","\"}, AB$10:AG$10, "&lt;&gt;"), COUNTIFS(AI55:AK55, {"","/","\"}, AI$10:AK$10, "&lt;&gt;"))</f>
        <v>0</v>
      </c>
      <c r="AP55" s="155"/>
      <c r="AQ55" s="156" t="s">
        <v>2</v>
      </c>
      <c r="AR55" s="155"/>
      <c r="AS55" s="155"/>
      <c r="AT55" s="157"/>
    </row>
    <row r="56" spans="1:46" ht="20.149999999999999" customHeight="1" thickBot="1">
      <c r="A56" s="158">
        <v>27</v>
      </c>
      <c r="B56" s="159"/>
      <c r="C56" s="160"/>
      <c r="D56" s="161"/>
      <c r="E56" s="161"/>
      <c r="F56" s="162" t="s">
        <v>2</v>
      </c>
      <c r="G56" s="163"/>
      <c r="H56" s="59" t="s">
        <v>2</v>
      </c>
      <c r="I56" s="59" t="s">
        <v>2</v>
      </c>
      <c r="J56" s="59" t="s">
        <v>2</v>
      </c>
      <c r="K56" s="59" t="s">
        <v>2</v>
      </c>
      <c r="L56" s="162" t="s">
        <v>2</v>
      </c>
      <c r="M56" s="163"/>
      <c r="N56" s="59" t="s">
        <v>2</v>
      </c>
      <c r="O56" s="59" t="s">
        <v>2</v>
      </c>
      <c r="P56" s="59" t="s">
        <v>2</v>
      </c>
      <c r="Q56" s="59" t="s">
        <v>2</v>
      </c>
      <c r="R56" s="162" t="s">
        <v>2</v>
      </c>
      <c r="S56" s="163"/>
      <c r="T56" s="59" t="s">
        <v>2</v>
      </c>
      <c r="U56" s="59" t="s">
        <v>2</v>
      </c>
      <c r="V56" s="163" t="s">
        <v>2</v>
      </c>
      <c r="W56" s="163"/>
      <c r="X56" s="163" t="s">
        <v>2</v>
      </c>
      <c r="Y56" s="163"/>
      <c r="Z56" s="162" t="s">
        <v>2</v>
      </c>
      <c r="AA56" s="163"/>
      <c r="AB56" s="59" t="s">
        <v>2</v>
      </c>
      <c r="AC56" s="59" t="s">
        <v>2</v>
      </c>
      <c r="AD56" s="59" t="s">
        <v>2</v>
      </c>
      <c r="AE56" s="59" t="s">
        <v>2</v>
      </c>
      <c r="AF56" s="62" t="s">
        <v>2</v>
      </c>
      <c r="AG56" s="153" t="s">
        <v>2</v>
      </c>
      <c r="AH56" s="153"/>
      <c r="AI56" s="61" t="s">
        <v>2</v>
      </c>
      <c r="AJ56" s="61" t="s">
        <v>2</v>
      </c>
      <c r="AK56" s="153" t="s">
        <v>2</v>
      </c>
      <c r="AL56" s="154"/>
      <c r="AM56" s="169" cm="1">
        <f t="array" ref="AM56">SUM(COUNTIFS(F56, {"X","/\"}, F$10, "&lt;&gt;"), COUNTIFS(H56:L56, {"X","/\"}, H$10:L$10, "&lt;&gt;"), COUNTIFS(N56:R56, {"X","/\"}, N$10:R$10, "&lt;&gt;"), COUNTIFS(T56:U56, {"X","/\"}, T$10:U$10, "&lt;&gt;"), COUNTIFS(W56:X56, {"X","/\"}, W$10:X$10, "&lt;&gt;"), COUNTIFS(Z56, {"X","/\"}, Z$10, "&lt;&gt;"), COUNTIFS(AB56:AG56, {"X","/\"}, AB$10:AG$10, "&lt;&gt;"), COUNTIFS(AI56:AK56, {"X","/\"}, AI$10:AK$10, "&lt;&gt;"))</f>
        <v>0</v>
      </c>
      <c r="AN56" s="157"/>
      <c r="AO56" s="155" cm="1">
        <f t="array" ref="AO56">SUM(COUNTIFS(F56, {"","/","\"}, F$10, "&lt;&gt;"), COUNTIFS(H56:L56, {"","/","\"}, H$10:L$10, "&lt;&gt;"), COUNTIFS(N56:R56, {"","/","\"}, N$10:R$10, "&lt;&gt;"), COUNTIFS(T56:V56, {"","/","\"}, T$10:V$10, "&lt;&gt;"), COUNTIFS(X56, {"","/","\"}, X$10, "&lt;&gt;"), COUNTIFS(Z56, {"","/","\"}, Z$10, "&lt;&gt;"), COUNTIFS(AB56:AG56, {"","/","\"}, AB$10:AG$10, "&lt;&gt;"), COUNTIFS(AI56:AK56, {"","/","\"}, AI$10:AK$10, "&lt;&gt;"))</f>
        <v>0</v>
      </c>
      <c r="AP56" s="155"/>
      <c r="AQ56" s="156" t="s">
        <v>2</v>
      </c>
      <c r="AR56" s="155"/>
      <c r="AS56" s="155"/>
      <c r="AT56" s="157"/>
    </row>
    <row r="57" spans="1:46" ht="20.149999999999999" customHeight="1" thickBot="1">
      <c r="A57" s="149">
        <f>COUNTA(C30:C56)</f>
        <v>0</v>
      </c>
      <c r="B57" s="150"/>
      <c r="C57" s="151" t="s">
        <v>21</v>
      </c>
      <c r="D57" s="152"/>
      <c r="E57" s="152"/>
      <c r="F57" s="325" t="str" cm="1">
        <f t="array" ref="F57">IF(F$10="", "", SUM(COUNTIFS($C$30:$C$56, "&lt;&gt;", F$30:F$56, {"","/","\"})))</f>
        <v/>
      </c>
      <c r="G57" s="326"/>
      <c r="H57" s="327" t="str" cm="1">
        <f t="array" ref="H57">IF(H$10="", "", SUM(COUNTIFS($C$30:$C$56, "&lt;&gt;", H$30:H$56, {"","/","\"})))</f>
        <v/>
      </c>
      <c r="I57" s="327" t="str" cm="1">
        <f t="array" ref="I57">IF(I$10="", "", SUM(COUNTIFS($C$30:$C$56, "&lt;&gt;", I$30:I$56, {"","/","\"})))</f>
        <v/>
      </c>
      <c r="J57" s="327" t="str" cm="1">
        <f t="array" ref="J57">IF(J$10="", "", SUM(COUNTIFS($C$30:$C$56, "&lt;&gt;", J$30:J$56, {"","/","\"})))</f>
        <v/>
      </c>
      <c r="K57" s="327" t="str" cm="1">
        <f t="array" ref="K57">IF(K$10="", "", SUM(COUNTIFS($C$30:$C$56, "&lt;&gt;", K$30:K$56, {"","/","\"})))</f>
        <v/>
      </c>
      <c r="L57" s="325" t="str" cm="1">
        <f t="array" ref="L57">IF(L$10="", "", SUM(COUNTIFS($C$30:$C$56, "&lt;&gt;", L$30:L$56, {"","/","\"})))</f>
        <v/>
      </c>
      <c r="M57" s="326"/>
      <c r="N57" s="327" t="str" cm="1">
        <f t="array" ref="N57">IF(N$10="", "", SUM(COUNTIFS($C$30:$C$56, "&lt;&gt;", N$30:N$56, {"","/","\"})))</f>
        <v/>
      </c>
      <c r="O57" s="327" t="str" cm="1">
        <f t="array" ref="O57">IF(O$10="", "", SUM(COUNTIFS($C$30:$C$56, "&lt;&gt;", O$30:O$56, {"","/","\"})))</f>
        <v/>
      </c>
      <c r="P57" s="327" t="str" cm="1">
        <f t="array" ref="P57">IF(P$10="", "", SUM(COUNTIFS($C$30:$C$56, "&lt;&gt;", P$30:P$56, {"","/","\"})))</f>
        <v/>
      </c>
      <c r="Q57" s="327" t="str" cm="1">
        <f t="array" ref="Q57">IF(Q$10="", "", SUM(COUNTIFS($C$30:$C$56, "&lt;&gt;", Q$30:Q$56, {"","/","\"})))</f>
        <v/>
      </c>
      <c r="R57" s="325" t="str" cm="1">
        <f t="array" ref="R57">IF(R$10="", "", SUM(COUNTIFS($C$30:$C$56, "&lt;&gt;", R$30:R$56, {"","/","\"})))</f>
        <v/>
      </c>
      <c r="S57" s="326"/>
      <c r="T57" s="327" t="str" cm="1">
        <f t="array" ref="T57">IF(T$10="", "", SUM(COUNTIFS($C$30:$C$56, "&lt;&gt;", T$30:T$56, {"","/","\"})))</f>
        <v/>
      </c>
      <c r="U57" s="327" t="str" cm="1">
        <f t="array" ref="U57">IF(U$10="", "", SUM(COUNTIFS($C$30:$C$56, "&lt;&gt;", U$30:U$56, {"","/","\"})))</f>
        <v/>
      </c>
      <c r="V57" s="326" t="str" cm="1">
        <f t="array" ref="V57">IF(V$10="", "", SUM(COUNTIFS($C$30:$C$56, "&lt;&gt;", V$30:V$56, {"","/","\"})))</f>
        <v/>
      </c>
      <c r="W57" s="326"/>
      <c r="X57" s="326" t="str" cm="1">
        <f t="array" ref="X57">IF(X$10="", "", SUM(COUNTIFS($C$30:$C$56, "&lt;&gt;", X$30:X$56, {"","/","\"})))</f>
        <v/>
      </c>
      <c r="Y57" s="326"/>
      <c r="Z57" s="325" t="str" cm="1">
        <f t="array" ref="Z57">IF(Z$10="", "", SUM(COUNTIFS($C$30:$C$56, "&lt;&gt;", Z$30:Z$56, {"","/","\"})))</f>
        <v/>
      </c>
      <c r="AA57" s="326"/>
      <c r="AB57" s="327" t="str" cm="1">
        <f t="array" ref="AB57">IF(AB$10="", "", SUM(COUNTIFS($C$30:$C$56, "&lt;&gt;", AB$30:AB$56, {"","/","\"})))</f>
        <v/>
      </c>
      <c r="AC57" s="327" t="str" cm="1">
        <f t="array" ref="AC57">IF(AC$10="", "", SUM(COUNTIFS($C$30:$C$56, "&lt;&gt;", AC$30:AC$56, {"","/","\"})))</f>
        <v/>
      </c>
      <c r="AD57" s="327" t="str" cm="1">
        <f t="array" ref="AD57">IF(AD$10="", "", SUM(COUNTIFS($C$30:$C$56, "&lt;&gt;", AD$30:AD$56, {"","/","\"})))</f>
        <v/>
      </c>
      <c r="AE57" s="328" t="str" cm="1">
        <f t="array" ref="AE57">IF(AE$10="", "", SUM(COUNTIFS($C$30:$C$56, "&lt;&gt;", AE$30:AE$56, {"","/","\"})))</f>
        <v/>
      </c>
      <c r="AF57" s="329" t="str" cm="1">
        <f t="array" ref="AF57">IF(AF$10="", "", SUM(COUNTIFS($C$30:$C$56, "&lt;&gt;", AF$30:AF$56, {"","/","\"})))</f>
        <v/>
      </c>
      <c r="AG57" s="326" t="str" cm="1">
        <f t="array" ref="AG57">IF(AG$10="", "", SUM(COUNTIFS($C$30:$C$56, "&lt;&gt;", AG$30:AG$56, {"","/","\"})))</f>
        <v/>
      </c>
      <c r="AH57" s="326"/>
      <c r="AI57" s="327" t="str" cm="1">
        <f t="array" ref="AI57">IF(AI$10="", "", SUM(COUNTIFS($C$30:$C$56, "&lt;&gt;", AI$30:AI$56, {"","/","\"})))</f>
        <v/>
      </c>
      <c r="AJ57" s="327" t="str" cm="1">
        <f t="array" ref="AJ57">IF(AJ$10="", "", SUM(COUNTIFS($C$30:$C$56, "&lt;&gt;", AJ$30:AJ$56, {"","/","\"})))</f>
        <v/>
      </c>
      <c r="AK57" s="326" t="str" cm="1">
        <f t="array" ref="AK57">IF(AK$10="", "", SUM(COUNTIFS($C$30:$C$56, "&lt;&gt;", AK$30:AK$56, {"","/","\"})))</f>
        <v/>
      </c>
      <c r="AL57" s="331"/>
      <c r="AM57" s="143">
        <f>SUM(AM30:AN56)</f>
        <v>0</v>
      </c>
      <c r="AN57" s="144"/>
      <c r="AO57" s="145">
        <f>SUM(AO30:AP56)</f>
        <v>0</v>
      </c>
      <c r="AP57" s="146"/>
      <c r="AQ57" s="147" t="s">
        <v>2</v>
      </c>
      <c r="AR57" s="147"/>
      <c r="AS57" s="147"/>
      <c r="AT57" s="148"/>
    </row>
    <row r="58" spans="1:46" ht="19.5" customHeight="1" thickBot="1">
      <c r="A58" s="149">
        <f>A29+A57</f>
        <v>0</v>
      </c>
      <c r="B58" s="150"/>
      <c r="C58" s="151" t="s">
        <v>22</v>
      </c>
      <c r="D58" s="152"/>
      <c r="E58" s="152"/>
      <c r="F58" s="325" t="s">
        <v>2</v>
      </c>
      <c r="G58" s="326"/>
      <c r="H58" s="327" t="s">
        <v>2</v>
      </c>
      <c r="I58" s="327" t="s">
        <v>2</v>
      </c>
      <c r="J58" s="327" t="s">
        <v>2</v>
      </c>
      <c r="K58" s="327" t="s">
        <v>2</v>
      </c>
      <c r="L58" s="325" t="s">
        <v>2</v>
      </c>
      <c r="M58" s="326"/>
      <c r="N58" s="327" t="s">
        <v>2</v>
      </c>
      <c r="O58" s="327" t="s">
        <v>2</v>
      </c>
      <c r="P58" s="327" t="s">
        <v>2</v>
      </c>
      <c r="Q58" s="327" t="s">
        <v>2</v>
      </c>
      <c r="R58" s="325" t="s">
        <v>2</v>
      </c>
      <c r="S58" s="326"/>
      <c r="T58" s="327" t="s">
        <v>2</v>
      </c>
      <c r="U58" s="327" t="s">
        <v>2</v>
      </c>
      <c r="V58" s="326" t="s">
        <v>2</v>
      </c>
      <c r="W58" s="326"/>
      <c r="X58" s="326" t="s">
        <v>2</v>
      </c>
      <c r="Y58" s="326"/>
      <c r="Z58" s="332" t="s">
        <v>2</v>
      </c>
      <c r="AA58" s="333"/>
      <c r="AB58" s="334" t="s">
        <v>2</v>
      </c>
      <c r="AC58" s="334" t="s">
        <v>2</v>
      </c>
      <c r="AD58" s="334" t="s">
        <v>2</v>
      </c>
      <c r="AE58" s="334" t="s">
        <v>2</v>
      </c>
      <c r="AF58" s="335" t="s">
        <v>2</v>
      </c>
      <c r="AG58" s="326" t="s">
        <v>2</v>
      </c>
      <c r="AH58" s="326"/>
      <c r="AI58" s="327" t="s">
        <v>2</v>
      </c>
      <c r="AJ58" s="327" t="s">
        <v>2</v>
      </c>
      <c r="AK58" s="326" t="s">
        <v>2</v>
      </c>
      <c r="AL58" s="331"/>
      <c r="AM58" s="143">
        <f>AM29+AM57</f>
        <v>0</v>
      </c>
      <c r="AN58" s="144"/>
      <c r="AO58" s="145">
        <f>AO29+AO57</f>
        <v>0</v>
      </c>
      <c r="AP58" s="145"/>
      <c r="AQ58" s="143" t="s">
        <v>2</v>
      </c>
      <c r="AR58" s="145"/>
      <c r="AS58" s="145"/>
      <c r="AT58" s="144"/>
    </row>
    <row r="59" spans="1:46" s="16" customFormat="1" ht="3.75" customHeight="1" thickBot="1">
      <c r="A59" s="50"/>
      <c r="B59" s="50"/>
      <c r="C59" s="51"/>
      <c r="D59" s="51"/>
      <c r="E59" s="51"/>
      <c r="F59" s="52"/>
      <c r="G59" s="52"/>
      <c r="H59" s="53"/>
      <c r="I59" s="53"/>
      <c r="J59" s="53"/>
      <c r="K59" s="53"/>
      <c r="L59" s="52"/>
      <c r="M59" s="52"/>
      <c r="N59" s="53"/>
      <c r="O59" s="53"/>
      <c r="P59" s="53"/>
      <c r="Q59" s="53"/>
      <c r="R59" s="52"/>
      <c r="S59" s="52"/>
      <c r="T59" s="53"/>
      <c r="U59" s="53"/>
      <c r="V59" s="52"/>
      <c r="W59" s="52"/>
      <c r="X59" s="52"/>
      <c r="Y59" s="52"/>
      <c r="Z59" s="54"/>
      <c r="AA59" s="54"/>
      <c r="AB59" s="55"/>
      <c r="AC59" s="55"/>
      <c r="AD59" s="55"/>
      <c r="AE59" s="55"/>
      <c r="AF59" s="53"/>
      <c r="AG59" s="52"/>
      <c r="AH59" s="52"/>
      <c r="AI59" s="53"/>
      <c r="AJ59" s="53"/>
      <c r="AK59" s="52"/>
      <c r="AL59" s="52"/>
      <c r="AM59" s="49"/>
      <c r="AN59" s="49"/>
      <c r="AO59" s="49"/>
      <c r="AP59" s="49"/>
      <c r="AQ59" s="49"/>
      <c r="AR59" s="49"/>
      <c r="AS59" s="49"/>
      <c r="AT59" s="49"/>
    </row>
    <row r="60" spans="1:46" ht="16.5" customHeight="1" thickBot="1">
      <c r="A60" s="132" t="s">
        <v>23</v>
      </c>
      <c r="B60" s="132"/>
      <c r="C60" s="132"/>
      <c r="D60" s="132"/>
      <c r="E60" s="132"/>
      <c r="F60" s="21"/>
      <c r="G60" s="21"/>
      <c r="H60" s="21"/>
      <c r="I60" s="21"/>
      <c r="J60" s="21"/>
      <c r="K60" s="21"/>
      <c r="L60" s="21"/>
      <c r="M60" s="21"/>
      <c r="N60" s="21"/>
      <c r="O60" s="21"/>
      <c r="P60" s="21"/>
      <c r="Q60" s="21"/>
      <c r="R60" s="21"/>
      <c r="S60" s="21"/>
      <c r="T60" s="21"/>
      <c r="U60" s="21"/>
      <c r="V60" s="21"/>
      <c r="W60" s="21"/>
      <c r="X60" s="21"/>
      <c r="Y60" s="21"/>
      <c r="Z60" s="133" t="s">
        <v>24</v>
      </c>
      <c r="AA60" s="134"/>
      <c r="AB60" s="134"/>
      <c r="AC60" s="134"/>
      <c r="AD60" s="134"/>
      <c r="AE60" s="134"/>
      <c r="AF60" s="134"/>
      <c r="AG60" s="134"/>
      <c r="AH60" s="134"/>
      <c r="AI60" s="134"/>
      <c r="AJ60" s="134"/>
      <c r="AK60" s="135"/>
      <c r="AL60" s="35"/>
      <c r="AM60" s="136" t="s">
        <v>25</v>
      </c>
      <c r="AN60" s="137"/>
      <c r="AO60" s="138"/>
      <c r="AP60" s="139" t="s">
        <v>26</v>
      </c>
      <c r="AQ60" s="140"/>
      <c r="AR60" s="141" t="s">
        <v>27</v>
      </c>
      <c r="AS60" s="141"/>
      <c r="AT60" s="142"/>
    </row>
    <row r="61" spans="1:46" ht="16.5" customHeight="1" thickBot="1">
      <c r="A61" s="118" t="s">
        <v>28</v>
      </c>
      <c r="B61" s="84"/>
      <c r="C61" s="84"/>
      <c r="D61" s="84"/>
      <c r="E61" s="84"/>
      <c r="F61" s="84"/>
      <c r="G61" s="84"/>
      <c r="H61" s="84"/>
      <c r="I61" s="84"/>
      <c r="J61" s="84"/>
      <c r="K61" s="84"/>
      <c r="L61" s="84"/>
      <c r="M61" s="84"/>
      <c r="N61" s="84"/>
      <c r="O61" s="84"/>
      <c r="P61" s="84"/>
      <c r="Q61" s="84"/>
      <c r="R61" s="84"/>
      <c r="S61" s="84"/>
      <c r="T61" s="84"/>
      <c r="U61" s="84"/>
      <c r="V61" s="84"/>
      <c r="W61" s="84"/>
      <c r="X61" s="84"/>
      <c r="Y61" s="21"/>
      <c r="Z61" s="119" t="s">
        <v>69</v>
      </c>
      <c r="AA61" s="120"/>
      <c r="AB61" s="120"/>
      <c r="AC61" s="120"/>
      <c r="AD61" s="120"/>
      <c r="AE61" s="120"/>
      <c r="AF61" s="120"/>
      <c r="AG61" s="120"/>
      <c r="AH61" s="120"/>
      <c r="AI61" s="120"/>
      <c r="AJ61" s="120"/>
      <c r="AK61" s="121"/>
      <c r="AL61" s="35"/>
      <c r="AM61" s="320">
        <f>AQ7</f>
        <v>0</v>
      </c>
      <c r="AN61" s="321"/>
      <c r="AO61" s="322"/>
      <c r="AP61" s="323">
        <f>COUNTA(F10:AL10)</f>
        <v>0</v>
      </c>
      <c r="AQ61" s="324"/>
      <c r="AR61" s="56" t="s">
        <v>13</v>
      </c>
      <c r="AS61" s="47" t="s">
        <v>17</v>
      </c>
      <c r="AT61" s="48" t="s">
        <v>3</v>
      </c>
    </row>
    <row r="62" spans="1:46" ht="16.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21"/>
      <c r="Z62" s="119"/>
      <c r="AA62" s="120"/>
      <c r="AB62" s="120"/>
      <c r="AC62" s="120"/>
      <c r="AD62" s="120"/>
      <c r="AE62" s="120"/>
      <c r="AF62" s="120"/>
      <c r="AG62" s="120"/>
      <c r="AH62" s="120"/>
      <c r="AI62" s="120"/>
      <c r="AJ62" s="120"/>
      <c r="AK62" s="121"/>
      <c r="AL62" s="35"/>
      <c r="AM62" s="122" t="s">
        <v>29</v>
      </c>
      <c r="AN62" s="123"/>
      <c r="AO62" s="123"/>
      <c r="AP62" s="123"/>
      <c r="AQ62" s="124"/>
      <c r="AR62" s="304">
        <f>A29</f>
        <v>0</v>
      </c>
      <c r="AS62" s="305">
        <f>A57</f>
        <v>0</v>
      </c>
      <c r="AT62" s="306">
        <f>SUM(AR62:AS62)</f>
        <v>0</v>
      </c>
    </row>
    <row r="63" spans="1:46" ht="16.5" customHeight="1">
      <c r="A63" s="23"/>
      <c r="B63" s="108" t="s">
        <v>30</v>
      </c>
      <c r="C63" s="84"/>
      <c r="D63" s="84"/>
      <c r="E63" s="84"/>
      <c r="F63" s="84"/>
      <c r="G63" s="125" t="s">
        <v>31</v>
      </c>
      <c r="H63" s="125"/>
      <c r="I63" s="125"/>
      <c r="J63" s="125"/>
      <c r="K63" s="125"/>
      <c r="L63" s="125"/>
      <c r="M63" s="125"/>
      <c r="N63" s="125"/>
      <c r="O63" s="125"/>
      <c r="P63" s="125"/>
      <c r="Q63" s="125"/>
      <c r="R63" s="125"/>
      <c r="S63" s="125"/>
      <c r="T63" s="114" t="s">
        <v>32</v>
      </c>
      <c r="U63" s="84"/>
      <c r="V63" s="84"/>
      <c r="W63" s="23"/>
      <c r="X63" s="23"/>
      <c r="Y63" s="21"/>
      <c r="Z63" s="126" t="s">
        <v>33</v>
      </c>
      <c r="AA63" s="127"/>
      <c r="AB63" s="127"/>
      <c r="AC63" s="127"/>
      <c r="AD63" s="127"/>
      <c r="AE63" s="127"/>
      <c r="AF63" s="127"/>
      <c r="AG63" s="127"/>
      <c r="AH63" s="127"/>
      <c r="AI63" s="127"/>
      <c r="AJ63" s="127"/>
      <c r="AK63" s="128"/>
      <c r="AL63" s="35"/>
      <c r="AM63" s="36" t="s">
        <v>62</v>
      </c>
      <c r="AN63" s="37"/>
      <c r="AO63" s="37"/>
      <c r="AP63" s="37"/>
      <c r="AQ63" s="38"/>
      <c r="AR63" s="307">
        <v>0</v>
      </c>
      <c r="AS63" s="308">
        <v>0</v>
      </c>
      <c r="AT63" s="309">
        <f>SUM(AR63:AS63)</f>
        <v>0</v>
      </c>
    </row>
    <row r="64" spans="1:46" ht="16.5" customHeight="1">
      <c r="A64" s="23"/>
      <c r="B64" s="84"/>
      <c r="C64" s="84"/>
      <c r="D64" s="84"/>
      <c r="E64" s="84"/>
      <c r="F64" s="84"/>
      <c r="G64" s="109"/>
      <c r="H64" s="109"/>
      <c r="I64" s="109"/>
      <c r="J64" s="109"/>
      <c r="K64" s="109"/>
      <c r="L64" s="109"/>
      <c r="M64" s="109"/>
      <c r="N64" s="109"/>
      <c r="O64" s="109"/>
      <c r="P64" s="109"/>
      <c r="Q64" s="109"/>
      <c r="R64" s="109"/>
      <c r="S64" s="109"/>
      <c r="T64" s="84"/>
      <c r="U64" s="84"/>
      <c r="V64" s="84"/>
      <c r="W64" s="23"/>
      <c r="X64" s="23"/>
      <c r="Y64" s="21"/>
      <c r="Z64" s="126"/>
      <c r="AA64" s="127"/>
      <c r="AB64" s="127"/>
      <c r="AC64" s="127"/>
      <c r="AD64" s="127"/>
      <c r="AE64" s="127"/>
      <c r="AF64" s="127"/>
      <c r="AG64" s="127"/>
      <c r="AH64" s="127"/>
      <c r="AI64" s="127"/>
      <c r="AJ64" s="127"/>
      <c r="AK64" s="128"/>
      <c r="AL64" s="35"/>
      <c r="AM64" s="129" t="s">
        <v>31</v>
      </c>
      <c r="AN64" s="130"/>
      <c r="AO64" s="130"/>
      <c r="AP64" s="130"/>
      <c r="AQ64" s="131"/>
      <c r="AR64" s="310">
        <f>AR62+AR63</f>
        <v>0</v>
      </c>
      <c r="AS64" s="311">
        <f>AS62+AS63</f>
        <v>0</v>
      </c>
      <c r="AT64" s="82">
        <f>SUM(AR64:AS64)</f>
        <v>0</v>
      </c>
    </row>
    <row r="65" spans="1:46" ht="16.5" customHeight="1">
      <c r="A65" s="23"/>
      <c r="B65" s="84"/>
      <c r="C65" s="84"/>
      <c r="D65" s="84"/>
      <c r="E65" s="84"/>
      <c r="F65" s="84"/>
      <c r="G65" s="91" t="s">
        <v>34</v>
      </c>
      <c r="H65" s="113"/>
      <c r="I65" s="113"/>
      <c r="J65" s="113"/>
      <c r="K65" s="113"/>
      <c r="L65" s="113"/>
      <c r="M65" s="113"/>
      <c r="N65" s="113"/>
      <c r="O65" s="113"/>
      <c r="P65" s="113"/>
      <c r="Q65" s="113"/>
      <c r="R65" s="113"/>
      <c r="S65" s="113"/>
      <c r="T65" s="84"/>
      <c r="U65" s="84"/>
      <c r="V65" s="84"/>
      <c r="W65" s="23"/>
      <c r="X65" s="23"/>
      <c r="Y65" s="21"/>
      <c r="Z65" s="92" t="s">
        <v>35</v>
      </c>
      <c r="AA65" s="93"/>
      <c r="AB65" s="93"/>
      <c r="AC65" s="93"/>
      <c r="AD65" s="93"/>
      <c r="AE65" s="93"/>
      <c r="AF65" s="93"/>
      <c r="AG65" s="93"/>
      <c r="AH65" s="93"/>
      <c r="AI65" s="93"/>
      <c r="AJ65" s="93"/>
      <c r="AK65" s="94"/>
      <c r="AL65" s="35"/>
      <c r="AM65" s="129" t="s">
        <v>36</v>
      </c>
      <c r="AN65" s="130"/>
      <c r="AO65" s="130"/>
      <c r="AP65" s="130"/>
      <c r="AQ65" s="131"/>
      <c r="AR65" s="312" t="e">
        <f>AR64/AR62*100</f>
        <v>#DIV/0!</v>
      </c>
      <c r="AS65" s="313" t="e">
        <f>AS64/AS62*100</f>
        <v>#DIV/0!</v>
      </c>
      <c r="AT65" s="314" t="e">
        <f>AVERAGE(AR65:AS65)</f>
        <v>#DIV/0!</v>
      </c>
    </row>
    <row r="66" spans="1:46" ht="16.5" customHeight="1">
      <c r="A66" s="23"/>
      <c r="B66" s="108" t="s">
        <v>37</v>
      </c>
      <c r="C66" s="84"/>
      <c r="D66" s="84"/>
      <c r="E66" s="84"/>
      <c r="F66" s="84"/>
      <c r="G66" s="109" t="s">
        <v>38</v>
      </c>
      <c r="H66" s="109"/>
      <c r="I66" s="109"/>
      <c r="J66" s="109"/>
      <c r="K66" s="109"/>
      <c r="L66" s="109"/>
      <c r="M66" s="109"/>
      <c r="N66" s="109"/>
      <c r="O66" s="109"/>
      <c r="P66" s="109"/>
      <c r="Q66" s="109"/>
      <c r="R66" s="109"/>
      <c r="S66" s="109"/>
      <c r="T66" s="23"/>
      <c r="U66" s="23"/>
      <c r="V66" s="23"/>
      <c r="W66" s="23"/>
      <c r="X66" s="23"/>
      <c r="Y66" s="21"/>
      <c r="Z66" s="281" t="s">
        <v>41</v>
      </c>
      <c r="AA66" s="282"/>
      <c r="AB66" s="282"/>
      <c r="AC66" s="282"/>
      <c r="AD66" s="282"/>
      <c r="AE66" s="282"/>
      <c r="AF66" s="282"/>
      <c r="AG66" s="282"/>
      <c r="AH66" s="282"/>
      <c r="AI66" s="282"/>
      <c r="AJ66" s="282"/>
      <c r="AK66" s="283"/>
      <c r="AL66" s="35"/>
      <c r="AM66" s="110" t="s">
        <v>39</v>
      </c>
      <c r="AN66" s="111"/>
      <c r="AO66" s="111"/>
      <c r="AP66" s="111"/>
      <c r="AQ66" s="112"/>
      <c r="AR66" s="312" t="e">
        <f>AO29/AP61</f>
        <v>#DIV/0!</v>
      </c>
      <c r="AS66" s="313" t="e">
        <f>AO57/AP61</f>
        <v>#DIV/0!</v>
      </c>
      <c r="AT66" s="314" t="e">
        <f>SUM(AR66:AS66)</f>
        <v>#DIV/0!</v>
      </c>
    </row>
    <row r="67" spans="1:46" ht="16.5" customHeight="1">
      <c r="A67" s="23"/>
      <c r="B67" s="84"/>
      <c r="C67" s="84"/>
      <c r="D67" s="84"/>
      <c r="E67" s="84"/>
      <c r="F67" s="84"/>
      <c r="G67" s="91" t="s">
        <v>40</v>
      </c>
      <c r="H67" s="113"/>
      <c r="I67" s="113"/>
      <c r="J67" s="113"/>
      <c r="K67" s="113"/>
      <c r="L67" s="113"/>
      <c r="M67" s="113"/>
      <c r="N67" s="113"/>
      <c r="O67" s="113"/>
      <c r="P67" s="113"/>
      <c r="Q67" s="113"/>
      <c r="R67" s="113"/>
      <c r="S67" s="113"/>
      <c r="T67" s="23"/>
      <c r="U67" s="23"/>
      <c r="V67" s="23"/>
      <c r="W67" s="23"/>
      <c r="X67" s="23"/>
      <c r="Y67" s="21"/>
      <c r="Z67" s="281"/>
      <c r="AA67" s="282"/>
      <c r="AB67" s="282"/>
      <c r="AC67" s="282"/>
      <c r="AD67" s="282"/>
      <c r="AE67" s="282"/>
      <c r="AF67" s="282"/>
      <c r="AG67" s="282"/>
      <c r="AH67" s="282"/>
      <c r="AI67" s="282"/>
      <c r="AJ67" s="282"/>
      <c r="AK67" s="283"/>
      <c r="AL67" s="35"/>
      <c r="AM67" s="110" t="s">
        <v>42</v>
      </c>
      <c r="AN67" s="111"/>
      <c r="AO67" s="111"/>
      <c r="AP67" s="111"/>
      <c r="AQ67" s="112"/>
      <c r="AR67" s="315" t="e">
        <f>(AR66/AR64)*100</f>
        <v>#DIV/0!</v>
      </c>
      <c r="AS67" s="315" t="e">
        <f>(AS66/AS64)*100</f>
        <v>#DIV/0!</v>
      </c>
      <c r="AT67" s="316" t="e">
        <f>AVERAGE(AR67:AS67)</f>
        <v>#DIV/0!</v>
      </c>
    </row>
    <row r="68" spans="1:46" ht="16.5" customHeight="1">
      <c r="A68" s="23"/>
      <c r="B68" s="108" t="s">
        <v>43</v>
      </c>
      <c r="C68" s="84"/>
      <c r="D68" s="84"/>
      <c r="E68" s="84"/>
      <c r="F68" s="84"/>
      <c r="G68" s="109" t="s">
        <v>44</v>
      </c>
      <c r="H68" s="109"/>
      <c r="I68" s="109"/>
      <c r="J68" s="109"/>
      <c r="K68" s="109"/>
      <c r="L68" s="109"/>
      <c r="M68" s="109"/>
      <c r="N68" s="109"/>
      <c r="O68" s="109"/>
      <c r="P68" s="109"/>
      <c r="Q68" s="109"/>
      <c r="R68" s="109"/>
      <c r="S68" s="109"/>
      <c r="T68" s="114" t="s">
        <v>32</v>
      </c>
      <c r="U68" s="84"/>
      <c r="V68" s="84"/>
      <c r="W68" s="23"/>
      <c r="X68" s="23"/>
      <c r="Y68" s="21"/>
      <c r="Z68" s="281"/>
      <c r="AA68" s="282"/>
      <c r="AB68" s="282"/>
      <c r="AC68" s="282"/>
      <c r="AD68" s="282"/>
      <c r="AE68" s="282"/>
      <c r="AF68" s="282"/>
      <c r="AG68" s="282"/>
      <c r="AH68" s="282"/>
      <c r="AI68" s="282"/>
      <c r="AJ68" s="282"/>
      <c r="AK68" s="283"/>
      <c r="AL68" s="35"/>
      <c r="AM68" s="110" t="s">
        <v>45</v>
      </c>
      <c r="AN68" s="111"/>
      <c r="AO68" s="111"/>
      <c r="AP68" s="111"/>
      <c r="AQ68" s="112"/>
      <c r="AR68" s="317">
        <v>0</v>
      </c>
      <c r="AS68" s="318">
        <v>0</v>
      </c>
      <c r="AT68" s="319">
        <f>SUM(AR68:AS68)</f>
        <v>0</v>
      </c>
    </row>
    <row r="69" spans="1:46" ht="16.5" customHeight="1">
      <c r="A69" s="23"/>
      <c r="B69" s="84"/>
      <c r="C69" s="84"/>
      <c r="D69" s="84"/>
      <c r="E69" s="84"/>
      <c r="F69" s="84"/>
      <c r="G69" s="91" t="s">
        <v>31</v>
      </c>
      <c r="H69" s="113"/>
      <c r="I69" s="113"/>
      <c r="J69" s="113"/>
      <c r="K69" s="113"/>
      <c r="L69" s="113"/>
      <c r="M69" s="113"/>
      <c r="N69" s="113"/>
      <c r="O69" s="113"/>
      <c r="P69" s="113"/>
      <c r="Q69" s="113"/>
      <c r="R69" s="113"/>
      <c r="S69" s="113"/>
      <c r="T69" s="84"/>
      <c r="U69" s="84"/>
      <c r="V69" s="84"/>
      <c r="W69" s="23"/>
      <c r="X69" s="23"/>
      <c r="Y69" s="21"/>
      <c r="Z69" s="92" t="s">
        <v>46</v>
      </c>
      <c r="AA69" s="93"/>
      <c r="AB69" s="93"/>
      <c r="AC69" s="93"/>
      <c r="AD69" s="93"/>
      <c r="AE69" s="93"/>
      <c r="AF69" s="93"/>
      <c r="AG69" s="93"/>
      <c r="AH69" s="93"/>
      <c r="AI69" s="93"/>
      <c r="AJ69" s="93"/>
      <c r="AK69" s="94"/>
      <c r="AL69" s="35"/>
      <c r="AM69" s="115"/>
      <c r="AN69" s="116"/>
      <c r="AO69" s="116"/>
      <c r="AP69" s="116"/>
      <c r="AQ69" s="117"/>
      <c r="AR69" s="39" t="s">
        <v>2</v>
      </c>
      <c r="AS69" s="40" t="s">
        <v>2</v>
      </c>
      <c r="AT69" s="41" t="s">
        <v>2</v>
      </c>
    </row>
    <row r="70" spans="1:46" ht="16.5" customHeight="1">
      <c r="A70" s="83" t="s">
        <v>61</v>
      </c>
      <c r="B70" s="84"/>
      <c r="C70" s="84"/>
      <c r="D70" s="84"/>
      <c r="E70" s="84"/>
      <c r="F70" s="84"/>
      <c r="G70" s="84"/>
      <c r="H70" s="84"/>
      <c r="I70" s="84"/>
      <c r="J70" s="84"/>
      <c r="K70" s="84"/>
      <c r="L70" s="84"/>
      <c r="M70" s="84"/>
      <c r="N70" s="84"/>
      <c r="O70" s="84"/>
      <c r="P70" s="84"/>
      <c r="Q70" s="84"/>
      <c r="R70" s="84"/>
      <c r="S70" s="84"/>
      <c r="T70" s="84"/>
      <c r="U70" s="84"/>
      <c r="V70" s="84"/>
      <c r="W70" s="84"/>
      <c r="X70" s="84"/>
      <c r="Y70" s="21"/>
      <c r="Z70" s="281" t="s">
        <v>70</v>
      </c>
      <c r="AA70" s="282"/>
      <c r="AB70" s="282"/>
      <c r="AC70" s="282"/>
      <c r="AD70" s="282"/>
      <c r="AE70" s="282"/>
      <c r="AF70" s="282"/>
      <c r="AG70" s="282"/>
      <c r="AH70" s="282"/>
      <c r="AI70" s="282"/>
      <c r="AJ70" s="282"/>
      <c r="AK70" s="283"/>
      <c r="AL70" s="35"/>
      <c r="AM70" s="85" t="s">
        <v>63</v>
      </c>
      <c r="AN70" s="86"/>
      <c r="AO70" s="86"/>
      <c r="AP70" s="86"/>
      <c r="AQ70" s="87"/>
      <c r="AR70" s="295">
        <v>0</v>
      </c>
      <c r="AS70" s="296">
        <v>0</v>
      </c>
      <c r="AT70" s="297">
        <v>0</v>
      </c>
    </row>
    <row r="71" spans="1:46" ht="16.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21"/>
      <c r="Z71" s="281"/>
      <c r="AA71" s="282"/>
      <c r="AB71" s="282"/>
      <c r="AC71" s="282"/>
      <c r="AD71" s="282"/>
      <c r="AE71" s="282"/>
      <c r="AF71" s="282"/>
      <c r="AG71" s="282"/>
      <c r="AH71" s="282"/>
      <c r="AI71" s="282"/>
      <c r="AJ71" s="282"/>
      <c r="AK71" s="283"/>
      <c r="AL71" s="35"/>
      <c r="AM71" s="88" t="s">
        <v>64</v>
      </c>
      <c r="AN71" s="89"/>
      <c r="AO71" s="89"/>
      <c r="AP71" s="89"/>
      <c r="AQ71" s="90"/>
      <c r="AR71" s="295">
        <v>0</v>
      </c>
      <c r="AS71" s="296">
        <v>0</v>
      </c>
      <c r="AT71" s="297">
        <v>0</v>
      </c>
    </row>
    <row r="72" spans="1:46" ht="16.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21"/>
      <c r="Z72" s="281"/>
      <c r="AA72" s="282"/>
      <c r="AB72" s="282"/>
      <c r="AC72" s="282"/>
      <c r="AD72" s="282"/>
      <c r="AE72" s="282"/>
      <c r="AF72" s="282"/>
      <c r="AG72" s="282"/>
      <c r="AH72" s="282"/>
      <c r="AI72" s="282"/>
      <c r="AJ72" s="282"/>
      <c r="AK72" s="283"/>
      <c r="AL72" s="35"/>
      <c r="AM72" s="88" t="s">
        <v>65</v>
      </c>
      <c r="AN72" s="89"/>
      <c r="AO72" s="89"/>
      <c r="AP72" s="89"/>
      <c r="AQ72" s="90"/>
      <c r="AR72" s="298">
        <v>0</v>
      </c>
      <c r="AS72" s="299">
        <v>0</v>
      </c>
      <c r="AT72" s="300">
        <v>0</v>
      </c>
    </row>
    <row r="73" spans="1:46" ht="16.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21"/>
      <c r="Z73" s="281"/>
      <c r="AA73" s="282"/>
      <c r="AB73" s="282"/>
      <c r="AC73" s="282"/>
      <c r="AD73" s="282"/>
      <c r="AE73" s="282"/>
      <c r="AF73" s="282"/>
      <c r="AG73" s="282"/>
      <c r="AH73" s="282"/>
      <c r="AI73" s="282"/>
      <c r="AJ73" s="282"/>
      <c r="AK73" s="283"/>
      <c r="AL73" s="35"/>
      <c r="AM73" s="88" t="s">
        <v>47</v>
      </c>
      <c r="AN73" s="89"/>
      <c r="AO73" s="89"/>
      <c r="AP73" s="89"/>
      <c r="AQ73" s="90"/>
      <c r="AR73" s="298">
        <v>0</v>
      </c>
      <c r="AS73" s="299">
        <v>0</v>
      </c>
      <c r="AT73" s="300">
        <v>0</v>
      </c>
    </row>
    <row r="74" spans="1:46" ht="16.5" customHeight="1" thickBot="1">
      <c r="A74" s="8"/>
      <c r="B74" s="42"/>
      <c r="C74" s="21"/>
      <c r="D74" s="21"/>
      <c r="E74" s="21"/>
      <c r="F74" s="21"/>
      <c r="G74" s="21"/>
      <c r="H74" s="21"/>
      <c r="I74" s="21"/>
      <c r="J74" s="21"/>
      <c r="K74" s="21"/>
      <c r="L74" s="21"/>
      <c r="M74" s="21"/>
      <c r="N74" s="21"/>
      <c r="O74" s="21"/>
      <c r="P74" s="21"/>
      <c r="Q74" s="21"/>
      <c r="R74" s="21"/>
      <c r="S74" s="21"/>
      <c r="T74" s="21"/>
      <c r="U74" s="21"/>
      <c r="V74" s="21"/>
      <c r="W74" s="21"/>
      <c r="X74" s="21"/>
      <c r="Y74" s="21"/>
      <c r="Z74" s="92" t="s">
        <v>49</v>
      </c>
      <c r="AA74" s="93"/>
      <c r="AB74" s="93"/>
      <c r="AC74" s="93"/>
      <c r="AD74" s="93"/>
      <c r="AE74" s="93"/>
      <c r="AF74" s="93"/>
      <c r="AG74" s="93"/>
      <c r="AH74" s="93"/>
      <c r="AI74" s="93"/>
      <c r="AJ74" s="93"/>
      <c r="AK74" s="94"/>
      <c r="AL74" s="35"/>
      <c r="AM74" s="100" t="s">
        <v>48</v>
      </c>
      <c r="AN74" s="101"/>
      <c r="AO74" s="101"/>
      <c r="AP74" s="101"/>
      <c r="AQ74" s="102"/>
      <c r="AR74" s="301">
        <v>0</v>
      </c>
      <c r="AS74" s="302">
        <v>0</v>
      </c>
      <c r="AT74" s="303">
        <v>0</v>
      </c>
    </row>
    <row r="75" spans="1:46" ht="12"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96" t="s">
        <v>71</v>
      </c>
      <c r="AA75" s="97"/>
      <c r="AB75" s="97"/>
      <c r="AC75" s="97"/>
      <c r="AD75" s="97"/>
      <c r="AE75" s="97"/>
      <c r="AF75" s="97"/>
      <c r="AG75" s="97"/>
      <c r="AH75" s="97"/>
      <c r="AI75" s="97"/>
      <c r="AJ75" s="97"/>
      <c r="AK75" s="98"/>
      <c r="AL75" s="35"/>
      <c r="AM75" s="103"/>
      <c r="AN75" s="103"/>
      <c r="AO75" s="103"/>
      <c r="AP75" s="103"/>
      <c r="AQ75" s="103"/>
      <c r="AR75" s="103"/>
      <c r="AS75" s="103"/>
      <c r="AT75" s="103"/>
    </row>
    <row r="76" spans="1:46" ht="13.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96"/>
      <c r="AA76" s="97"/>
      <c r="AB76" s="97"/>
      <c r="AC76" s="97"/>
      <c r="AD76" s="97"/>
      <c r="AE76" s="97"/>
      <c r="AF76" s="97"/>
      <c r="AG76" s="97"/>
      <c r="AH76" s="97"/>
      <c r="AI76" s="97"/>
      <c r="AJ76" s="97"/>
      <c r="AK76" s="98"/>
      <c r="AL76" s="35"/>
      <c r="AM76" s="8"/>
      <c r="AN76" s="21"/>
      <c r="AO76" s="21"/>
      <c r="AP76" s="21"/>
      <c r="AQ76" s="21"/>
      <c r="AR76" s="21"/>
      <c r="AS76" s="21"/>
      <c r="AT76" s="21"/>
    </row>
    <row r="77" spans="1:46" ht="1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96"/>
      <c r="AA77" s="97"/>
      <c r="AB77" s="97"/>
      <c r="AC77" s="97"/>
      <c r="AD77" s="97"/>
      <c r="AE77" s="97"/>
      <c r="AF77" s="97"/>
      <c r="AG77" s="97"/>
      <c r="AH77" s="97"/>
      <c r="AI77" s="97"/>
      <c r="AJ77" s="97"/>
      <c r="AK77" s="98"/>
      <c r="AL77" s="35"/>
      <c r="AM77" s="34" t="s">
        <v>77</v>
      </c>
      <c r="AN77" s="33"/>
      <c r="AO77" s="33"/>
      <c r="AP77" s="33"/>
      <c r="AQ77" s="33"/>
      <c r="AR77" s="33"/>
      <c r="AS77" s="33"/>
      <c r="AT77" s="33"/>
    </row>
    <row r="78" spans="1:46" ht="1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92" t="s">
        <v>50</v>
      </c>
      <c r="AA78" s="93"/>
      <c r="AB78" s="93"/>
      <c r="AC78" s="93"/>
      <c r="AD78" s="93"/>
      <c r="AE78" s="93"/>
      <c r="AF78" s="93"/>
      <c r="AG78" s="93"/>
      <c r="AH78" s="93"/>
      <c r="AI78" s="93"/>
      <c r="AJ78" s="93"/>
      <c r="AK78" s="94"/>
      <c r="AL78" s="35"/>
      <c r="AM78" s="21"/>
      <c r="AN78" s="21"/>
      <c r="AO78" s="21"/>
      <c r="AP78" s="21"/>
      <c r="AQ78" s="21"/>
      <c r="AR78" s="21"/>
      <c r="AS78" s="21"/>
      <c r="AT78" s="21"/>
    </row>
    <row r="79" spans="1:46" ht="13.5" customHeight="1" thickBo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96" t="s">
        <v>72</v>
      </c>
      <c r="AA79" s="97"/>
      <c r="AB79" s="97"/>
      <c r="AC79" s="97"/>
      <c r="AD79" s="97"/>
      <c r="AE79" s="97"/>
      <c r="AF79" s="97"/>
      <c r="AG79" s="97"/>
      <c r="AH79" s="97"/>
      <c r="AI79" s="97"/>
      <c r="AJ79" s="97"/>
      <c r="AK79" s="98"/>
      <c r="AL79" s="35"/>
      <c r="AM79" s="21"/>
      <c r="AN79" s="107"/>
      <c r="AO79" s="107"/>
      <c r="AP79" s="107"/>
      <c r="AQ79" s="107"/>
      <c r="AR79" s="107"/>
      <c r="AS79" s="107"/>
      <c r="AT79" s="107"/>
    </row>
    <row r="80" spans="1:46" ht="13.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96"/>
      <c r="AA80" s="97"/>
      <c r="AB80" s="97"/>
      <c r="AC80" s="97"/>
      <c r="AD80" s="97"/>
      <c r="AE80" s="97"/>
      <c r="AF80" s="97"/>
      <c r="AG80" s="97"/>
      <c r="AH80" s="97"/>
      <c r="AI80" s="97"/>
      <c r="AJ80" s="97"/>
      <c r="AK80" s="98"/>
      <c r="AL80" s="35"/>
      <c r="AM80" s="8"/>
      <c r="AN80" s="95" t="s">
        <v>66</v>
      </c>
      <c r="AO80" s="95"/>
      <c r="AP80" s="95"/>
      <c r="AQ80" s="95"/>
      <c r="AR80" s="95"/>
      <c r="AS80" s="95"/>
      <c r="AT80" s="95"/>
    </row>
    <row r="81" spans="1:46" ht="1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96"/>
      <c r="AA81" s="97"/>
      <c r="AB81" s="97"/>
      <c r="AC81" s="97"/>
      <c r="AD81" s="97"/>
      <c r="AE81" s="97"/>
      <c r="AF81" s="97"/>
      <c r="AG81" s="97"/>
      <c r="AH81" s="97"/>
      <c r="AI81" s="97"/>
      <c r="AJ81" s="97"/>
      <c r="AK81" s="98"/>
      <c r="AL81" s="35"/>
      <c r="AM81" s="8"/>
      <c r="AN81" s="31"/>
      <c r="AO81" s="31"/>
      <c r="AP81" s="31"/>
      <c r="AQ81" s="31"/>
      <c r="AR81" s="31"/>
      <c r="AS81" s="31"/>
      <c r="AT81" s="31"/>
    </row>
    <row r="82" spans="1:46" ht="1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92" t="s">
        <v>51</v>
      </c>
      <c r="AA82" s="93"/>
      <c r="AB82" s="93"/>
      <c r="AC82" s="93"/>
      <c r="AD82" s="93"/>
      <c r="AE82" s="93"/>
      <c r="AF82" s="93"/>
      <c r="AG82" s="93"/>
      <c r="AH82" s="93"/>
      <c r="AI82" s="93"/>
      <c r="AJ82" s="93"/>
      <c r="AK82" s="94"/>
      <c r="AL82" s="35"/>
      <c r="AM82" s="8"/>
      <c r="AN82" s="21"/>
      <c r="AO82" s="21"/>
      <c r="AP82" s="21"/>
      <c r="AQ82" s="21"/>
      <c r="AR82" s="21"/>
      <c r="AS82" s="21"/>
      <c r="AT82" s="21"/>
    </row>
    <row r="83" spans="1:46" ht="1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96" t="s">
        <v>52</v>
      </c>
      <c r="AA83" s="97"/>
      <c r="AB83" s="97"/>
      <c r="AC83" s="97"/>
      <c r="AD83" s="97"/>
      <c r="AE83" s="97"/>
      <c r="AF83" s="97"/>
      <c r="AG83" s="97"/>
      <c r="AH83" s="97"/>
      <c r="AI83" s="97"/>
      <c r="AJ83" s="97"/>
      <c r="AK83" s="98"/>
      <c r="AL83" s="35"/>
      <c r="AM83" s="34" t="s">
        <v>75</v>
      </c>
      <c r="AN83" s="21"/>
      <c r="AO83" s="21"/>
      <c r="AP83" s="21"/>
      <c r="AQ83" s="21"/>
      <c r="AR83" s="21"/>
      <c r="AS83" s="21"/>
      <c r="AT83" s="21"/>
    </row>
    <row r="84" spans="1:46" ht="16" thickBo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84"/>
      <c r="AA84" s="285"/>
      <c r="AB84" s="285"/>
      <c r="AC84" s="285"/>
      <c r="AD84" s="285"/>
      <c r="AE84" s="285"/>
      <c r="AF84" s="285"/>
      <c r="AG84" s="285"/>
      <c r="AH84" s="285"/>
      <c r="AI84" s="285"/>
      <c r="AJ84" s="285"/>
      <c r="AK84" s="286"/>
      <c r="AL84" s="35"/>
      <c r="AM84" s="21"/>
      <c r="AN84" s="99"/>
      <c r="AO84" s="99"/>
      <c r="AP84" s="99"/>
      <c r="AQ84" s="99"/>
      <c r="AR84" s="99"/>
      <c r="AS84" s="99"/>
      <c r="AT84" s="99"/>
    </row>
    <row r="85" spans="1:46" ht="1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104" t="s">
        <v>53</v>
      </c>
      <c r="AA85" s="105"/>
      <c r="AB85" s="105"/>
      <c r="AC85" s="105"/>
      <c r="AD85" s="105"/>
      <c r="AE85" s="105"/>
      <c r="AF85" s="105"/>
      <c r="AG85" s="105"/>
      <c r="AH85" s="105"/>
      <c r="AI85" s="105"/>
      <c r="AJ85" s="105"/>
      <c r="AK85" s="106"/>
      <c r="AL85" s="21"/>
      <c r="AM85" s="21"/>
      <c r="AN85" s="91" t="s">
        <v>67</v>
      </c>
      <c r="AO85" s="84"/>
      <c r="AP85" s="84"/>
      <c r="AQ85" s="84"/>
      <c r="AR85" s="84"/>
      <c r="AS85" s="84"/>
      <c r="AT85" s="84"/>
    </row>
    <row r="86" spans="1:46" ht="12.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78" t="s">
        <v>54</v>
      </c>
      <c r="AA86" s="279"/>
      <c r="AB86" s="279"/>
      <c r="AC86" s="279"/>
      <c r="AD86" s="279"/>
      <c r="AE86" s="279"/>
      <c r="AF86" s="279"/>
      <c r="AG86" s="279"/>
      <c r="AH86" s="279"/>
      <c r="AI86" s="279"/>
      <c r="AJ86" s="279"/>
      <c r="AK86" s="280"/>
      <c r="AL86" s="21"/>
      <c r="AM86" s="21"/>
      <c r="AN86" s="21"/>
      <c r="AO86" s="21"/>
      <c r="AP86" s="21"/>
      <c r="AQ86" s="21"/>
      <c r="AR86" s="21"/>
      <c r="AS86" s="21"/>
      <c r="AT86" s="21"/>
    </row>
    <row r="87" spans="1:46" ht="1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13" t="s">
        <v>73</v>
      </c>
      <c r="AA87" s="22"/>
      <c r="AB87" s="22"/>
      <c r="AC87" s="22"/>
      <c r="AD87" s="22"/>
      <c r="AE87" s="22"/>
      <c r="AF87" s="22"/>
      <c r="AG87" s="22"/>
      <c r="AH87" s="22"/>
      <c r="AI87" s="22"/>
      <c r="AJ87" s="22"/>
      <c r="AK87" s="43"/>
      <c r="AL87" s="21"/>
      <c r="AM87" s="21"/>
      <c r="AN87" s="21"/>
      <c r="AO87" s="21"/>
      <c r="AP87" s="21"/>
      <c r="AQ87" s="21"/>
      <c r="AR87" s="21"/>
      <c r="AS87" s="21"/>
      <c r="AT87" s="21"/>
    </row>
    <row r="88" spans="1:46" ht="1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78" t="s">
        <v>55</v>
      </c>
      <c r="AA88" s="279"/>
      <c r="AB88" s="279"/>
      <c r="AC88" s="279"/>
      <c r="AD88" s="279"/>
      <c r="AE88" s="279"/>
      <c r="AF88" s="279"/>
      <c r="AG88" s="279"/>
      <c r="AH88" s="279"/>
      <c r="AI88" s="279"/>
      <c r="AJ88" s="279"/>
      <c r="AK88" s="280"/>
      <c r="AL88" s="21"/>
      <c r="AM88" s="21"/>
      <c r="AN88" s="21"/>
      <c r="AO88" s="21"/>
      <c r="AP88" s="21"/>
      <c r="AQ88" s="21"/>
      <c r="AR88" s="21"/>
      <c r="AS88" s="21"/>
      <c r="AT88" s="21"/>
    </row>
    <row r="89" spans="1:46" ht="1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14" t="s">
        <v>68</v>
      </c>
      <c r="AA89" s="15"/>
      <c r="AB89" s="15"/>
      <c r="AC89" s="15"/>
      <c r="AD89" s="15"/>
      <c r="AE89" s="15"/>
      <c r="AF89" s="15"/>
      <c r="AG89" s="15"/>
      <c r="AH89" s="15"/>
      <c r="AI89" s="15"/>
      <c r="AJ89" s="15"/>
      <c r="AK89" s="32"/>
      <c r="AL89" s="21"/>
      <c r="AM89" s="21"/>
      <c r="AN89" s="21"/>
      <c r="AO89" s="21"/>
      <c r="AP89" s="21"/>
      <c r="AQ89" s="21"/>
      <c r="AR89" s="21"/>
      <c r="AS89" s="21"/>
      <c r="AT89" s="21"/>
    </row>
  </sheetData>
  <mergeCells count="709">
    <mergeCell ref="Z86:AK86"/>
    <mergeCell ref="Z88:AK88"/>
    <mergeCell ref="Z65:AK65"/>
    <mergeCell ref="Z66:AK68"/>
    <mergeCell ref="Z69:AK69"/>
    <mergeCell ref="Z70:AK73"/>
    <mergeCell ref="Z74:AK74"/>
    <mergeCell ref="Z75:AK77"/>
    <mergeCell ref="Z79:AK81"/>
    <mergeCell ref="Z84:AK84"/>
    <mergeCell ref="AQ7:AT7"/>
    <mergeCell ref="U7:AK7"/>
    <mergeCell ref="F7:M7"/>
    <mergeCell ref="AC3:AH3"/>
    <mergeCell ref="AI3:AL3"/>
    <mergeCell ref="AM3:AQ3"/>
    <mergeCell ref="AS3:AT3"/>
    <mergeCell ref="T5:Y5"/>
    <mergeCell ref="Z5:AD5"/>
    <mergeCell ref="AE5:AF5"/>
    <mergeCell ref="AJ5:AP5"/>
    <mergeCell ref="AQ5:AT5"/>
    <mergeCell ref="AN7:AP7"/>
    <mergeCell ref="A3:E3"/>
    <mergeCell ref="F5:O5"/>
    <mergeCell ref="A1:AT1"/>
    <mergeCell ref="F3:O3"/>
    <mergeCell ref="Q3:S3"/>
    <mergeCell ref="T3:Y3"/>
    <mergeCell ref="P5:S5"/>
    <mergeCell ref="Z3:AB3"/>
    <mergeCell ref="AM9:AP10"/>
    <mergeCell ref="AQ9:AT11"/>
    <mergeCell ref="F10:G10"/>
    <mergeCell ref="L10:M10"/>
    <mergeCell ref="R10:S10"/>
    <mergeCell ref="V10:W10"/>
    <mergeCell ref="X10:Y10"/>
    <mergeCell ref="AK10:AL10"/>
    <mergeCell ref="F11:G11"/>
    <mergeCell ref="L11:M11"/>
    <mergeCell ref="R11:S11"/>
    <mergeCell ref="V11:W11"/>
    <mergeCell ref="X11:Y11"/>
    <mergeCell ref="Z11:AA11"/>
    <mergeCell ref="AG11:AH11"/>
    <mergeCell ref="N7:T7"/>
    <mergeCell ref="A9:B11"/>
    <mergeCell ref="C9:E11"/>
    <mergeCell ref="F9:AL9"/>
    <mergeCell ref="A12:B12"/>
    <mergeCell ref="C12:E12"/>
    <mergeCell ref="F12:G12"/>
    <mergeCell ref="L12:M12"/>
    <mergeCell ref="R12:S12"/>
    <mergeCell ref="V12:W12"/>
    <mergeCell ref="X12:Y12"/>
    <mergeCell ref="Z10:AA10"/>
    <mergeCell ref="AG10:AH10"/>
    <mergeCell ref="Z12:AA12"/>
    <mergeCell ref="AG12:AH12"/>
    <mergeCell ref="AK12:AL12"/>
    <mergeCell ref="AM12:AN12"/>
    <mergeCell ref="AO12:AP12"/>
    <mergeCell ref="AQ12:AT12"/>
    <mergeCell ref="AK11:AL11"/>
    <mergeCell ref="AM11:AN11"/>
    <mergeCell ref="AO11:AP11"/>
    <mergeCell ref="AQ13:AT13"/>
    <mergeCell ref="A14:B14"/>
    <mergeCell ref="C14:E14"/>
    <mergeCell ref="F14:G14"/>
    <mergeCell ref="L14:M14"/>
    <mergeCell ref="R14:S14"/>
    <mergeCell ref="V14:W14"/>
    <mergeCell ref="X14:Y14"/>
    <mergeCell ref="Z14:AA14"/>
    <mergeCell ref="AG14:AH14"/>
    <mergeCell ref="X13:Y13"/>
    <mergeCell ref="Z13:AA13"/>
    <mergeCell ref="AG13:AH13"/>
    <mergeCell ref="AK13:AL13"/>
    <mergeCell ref="AM13:AN13"/>
    <mergeCell ref="AO13:AP13"/>
    <mergeCell ref="A13:B13"/>
    <mergeCell ref="C13:E13"/>
    <mergeCell ref="AG18:AH18"/>
    <mergeCell ref="AK14:AL14"/>
    <mergeCell ref="AM14:AN14"/>
    <mergeCell ref="AO14:AP14"/>
    <mergeCell ref="AK16:AL16"/>
    <mergeCell ref="AM16:AN16"/>
    <mergeCell ref="AO16:AP16"/>
    <mergeCell ref="AQ14:AT14"/>
    <mergeCell ref="A15:B15"/>
    <mergeCell ref="C15:E15"/>
    <mergeCell ref="F15:G15"/>
    <mergeCell ref="L15:M15"/>
    <mergeCell ref="R15:S15"/>
    <mergeCell ref="V15:W15"/>
    <mergeCell ref="AQ15:AT15"/>
    <mergeCell ref="X15:Y15"/>
    <mergeCell ref="Z15:AA15"/>
    <mergeCell ref="AG15:AH15"/>
    <mergeCell ref="AK15:AL15"/>
    <mergeCell ref="AM15:AN15"/>
    <mergeCell ref="AO15:AP15"/>
    <mergeCell ref="R16:S16"/>
    <mergeCell ref="V16:W16"/>
    <mergeCell ref="X16:Y16"/>
    <mergeCell ref="F13:G13"/>
    <mergeCell ref="L13:M13"/>
    <mergeCell ref="R13:S13"/>
    <mergeCell ref="V13:W13"/>
    <mergeCell ref="L18:M18"/>
    <mergeCell ref="R18:S18"/>
    <mergeCell ref="V18:W18"/>
    <mergeCell ref="X18:Y18"/>
    <mergeCell ref="Z18:AA18"/>
    <mergeCell ref="Z16:AA16"/>
    <mergeCell ref="AQ16:AT16"/>
    <mergeCell ref="A17:B17"/>
    <mergeCell ref="C17:E17"/>
    <mergeCell ref="F17:G17"/>
    <mergeCell ref="L17:M17"/>
    <mergeCell ref="R17:S17"/>
    <mergeCell ref="V17:W17"/>
    <mergeCell ref="AQ17:AT17"/>
    <mergeCell ref="X17:Y17"/>
    <mergeCell ref="Z17:AA17"/>
    <mergeCell ref="AG17:AH17"/>
    <mergeCell ref="AK17:AL17"/>
    <mergeCell ref="AM17:AN17"/>
    <mergeCell ref="AO17:AP17"/>
    <mergeCell ref="A16:B16"/>
    <mergeCell ref="C16:E16"/>
    <mergeCell ref="F16:G16"/>
    <mergeCell ref="L16:M16"/>
    <mergeCell ref="AG16:AH16"/>
    <mergeCell ref="V20:W20"/>
    <mergeCell ref="X20:Y20"/>
    <mergeCell ref="Z20:AA20"/>
    <mergeCell ref="AG20:AH20"/>
    <mergeCell ref="AK18:AL18"/>
    <mergeCell ref="AM18:AN18"/>
    <mergeCell ref="AO18:AP18"/>
    <mergeCell ref="AQ18:AT18"/>
    <mergeCell ref="A19:B19"/>
    <mergeCell ref="C19:E19"/>
    <mergeCell ref="F19:G19"/>
    <mergeCell ref="L19:M19"/>
    <mergeCell ref="R19:S19"/>
    <mergeCell ref="V19:W19"/>
    <mergeCell ref="AQ19:AT19"/>
    <mergeCell ref="X19:Y19"/>
    <mergeCell ref="Z19:AA19"/>
    <mergeCell ref="AG19:AH19"/>
    <mergeCell ref="AK19:AL19"/>
    <mergeCell ref="AM19:AN19"/>
    <mergeCell ref="AO19:AP19"/>
    <mergeCell ref="A18:B18"/>
    <mergeCell ref="C18:E18"/>
    <mergeCell ref="F18:G18"/>
    <mergeCell ref="Z22:AA22"/>
    <mergeCell ref="AG22:AH22"/>
    <mergeCell ref="AK20:AL20"/>
    <mergeCell ref="AM20:AN20"/>
    <mergeCell ref="AO20:AP20"/>
    <mergeCell ref="AQ20:AT20"/>
    <mergeCell ref="A21:B21"/>
    <mergeCell ref="C21:E21"/>
    <mergeCell ref="F21:G21"/>
    <mergeCell ref="L21:M21"/>
    <mergeCell ref="R21:S21"/>
    <mergeCell ref="V21:W21"/>
    <mergeCell ref="AQ21:AT21"/>
    <mergeCell ref="X21:Y21"/>
    <mergeCell ref="Z21:AA21"/>
    <mergeCell ref="AG21:AH21"/>
    <mergeCell ref="AK21:AL21"/>
    <mergeCell ref="AM21:AN21"/>
    <mergeCell ref="AO21:AP21"/>
    <mergeCell ref="A20:B20"/>
    <mergeCell ref="C20:E20"/>
    <mergeCell ref="F20:G20"/>
    <mergeCell ref="L20:M20"/>
    <mergeCell ref="R20:S20"/>
    <mergeCell ref="AK22:AL22"/>
    <mergeCell ref="AM22:AN22"/>
    <mergeCell ref="AO22:AP22"/>
    <mergeCell ref="AQ22:AT22"/>
    <mergeCell ref="A29:B29"/>
    <mergeCell ref="C29:E29"/>
    <mergeCell ref="F29:G29"/>
    <mergeCell ref="L29:M29"/>
    <mergeCell ref="R29:S29"/>
    <mergeCell ref="V29:W29"/>
    <mergeCell ref="AQ29:AT29"/>
    <mergeCell ref="X29:Y29"/>
    <mergeCell ref="Z29:AA29"/>
    <mergeCell ref="AG29:AH29"/>
    <mergeCell ref="AK29:AL29"/>
    <mergeCell ref="AM29:AN29"/>
    <mergeCell ref="AO29:AP29"/>
    <mergeCell ref="A22:B22"/>
    <mergeCell ref="C22:E22"/>
    <mergeCell ref="F22:G22"/>
    <mergeCell ref="L22:M22"/>
    <mergeCell ref="R22:S22"/>
    <mergeCell ref="V22:W22"/>
    <mergeCell ref="X22:Y22"/>
    <mergeCell ref="AQ23:AT23"/>
    <mergeCell ref="A24:B24"/>
    <mergeCell ref="C24:E24"/>
    <mergeCell ref="F24:G24"/>
    <mergeCell ref="L24:M24"/>
    <mergeCell ref="R24:S24"/>
    <mergeCell ref="V24:W24"/>
    <mergeCell ref="AQ24:AT24"/>
    <mergeCell ref="X24:Y24"/>
    <mergeCell ref="Z24:AA24"/>
    <mergeCell ref="AG24:AH24"/>
    <mergeCell ref="AK24:AL24"/>
    <mergeCell ref="AM24:AN24"/>
    <mergeCell ref="AO24:AP24"/>
    <mergeCell ref="A23:B23"/>
    <mergeCell ref="C23:E23"/>
    <mergeCell ref="F23:G23"/>
    <mergeCell ref="L23:M23"/>
    <mergeCell ref="R23:S23"/>
    <mergeCell ref="V23:W23"/>
    <mergeCell ref="X23:Y23"/>
    <mergeCell ref="Z23:AA23"/>
    <mergeCell ref="AG23:AH23"/>
    <mergeCell ref="L25:M25"/>
    <mergeCell ref="R25:S25"/>
    <mergeCell ref="V25:W25"/>
    <mergeCell ref="X25:Y25"/>
    <mergeCell ref="Z25:AA25"/>
    <mergeCell ref="AG25:AH25"/>
    <mergeCell ref="AK23:AL23"/>
    <mergeCell ref="AM23:AN23"/>
    <mergeCell ref="AO23:AP23"/>
    <mergeCell ref="V27:W27"/>
    <mergeCell ref="X27:Y27"/>
    <mergeCell ref="Z27:AA27"/>
    <mergeCell ref="AG27:AH27"/>
    <mergeCell ref="AK25:AL25"/>
    <mergeCell ref="AM25:AN25"/>
    <mergeCell ref="AO25:AP25"/>
    <mergeCell ref="AQ25:AT25"/>
    <mergeCell ref="A26:B26"/>
    <mergeCell ref="C26:E26"/>
    <mergeCell ref="F26:G26"/>
    <mergeCell ref="L26:M26"/>
    <mergeCell ref="R26:S26"/>
    <mergeCell ref="V26:W26"/>
    <mergeCell ref="AQ26:AT26"/>
    <mergeCell ref="X26:Y26"/>
    <mergeCell ref="Z26:AA26"/>
    <mergeCell ref="AG26:AH26"/>
    <mergeCell ref="AK26:AL26"/>
    <mergeCell ref="AM26:AN26"/>
    <mergeCell ref="AO26:AP26"/>
    <mergeCell ref="A25:B25"/>
    <mergeCell ref="C25:E25"/>
    <mergeCell ref="F25:G25"/>
    <mergeCell ref="Z30:AA30"/>
    <mergeCell ref="AG30:AH30"/>
    <mergeCell ref="AK27:AL27"/>
    <mergeCell ref="AM27:AN27"/>
    <mergeCell ref="AO27:AP27"/>
    <mergeCell ref="AQ27:AT27"/>
    <mergeCell ref="A28:B28"/>
    <mergeCell ref="C28:E28"/>
    <mergeCell ref="F28:G28"/>
    <mergeCell ref="L28:M28"/>
    <mergeCell ref="R28:S28"/>
    <mergeCell ref="V28:W28"/>
    <mergeCell ref="AQ28:AT28"/>
    <mergeCell ref="X28:Y28"/>
    <mergeCell ref="Z28:AA28"/>
    <mergeCell ref="AG28:AH28"/>
    <mergeCell ref="AK28:AL28"/>
    <mergeCell ref="AM28:AN28"/>
    <mergeCell ref="AO28:AP28"/>
    <mergeCell ref="A27:B27"/>
    <mergeCell ref="C27:E27"/>
    <mergeCell ref="F27:G27"/>
    <mergeCell ref="L27:M27"/>
    <mergeCell ref="R27:S27"/>
    <mergeCell ref="AK30:AL30"/>
    <mergeCell ref="AM30:AN30"/>
    <mergeCell ref="AO30:AP30"/>
    <mergeCell ref="AQ30:AT30"/>
    <mergeCell ref="A31:B31"/>
    <mergeCell ref="C31:E31"/>
    <mergeCell ref="F31:G31"/>
    <mergeCell ref="L31:M31"/>
    <mergeCell ref="R31:S31"/>
    <mergeCell ref="V31:W31"/>
    <mergeCell ref="AQ31:AT31"/>
    <mergeCell ref="X31:Y31"/>
    <mergeCell ref="Z31:AA31"/>
    <mergeCell ref="AG31:AH31"/>
    <mergeCell ref="AK31:AL31"/>
    <mergeCell ref="AM31:AN31"/>
    <mergeCell ref="AO31:AP31"/>
    <mergeCell ref="A30:B30"/>
    <mergeCell ref="C30:E30"/>
    <mergeCell ref="F30:G30"/>
    <mergeCell ref="L30:M30"/>
    <mergeCell ref="R30:S30"/>
    <mergeCell ref="V30:W30"/>
    <mergeCell ref="X30:Y30"/>
    <mergeCell ref="AQ32:AT32"/>
    <mergeCell ref="A33:B33"/>
    <mergeCell ref="C33:E33"/>
    <mergeCell ref="F33:G33"/>
    <mergeCell ref="L33:M33"/>
    <mergeCell ref="R33:S33"/>
    <mergeCell ref="V33:W33"/>
    <mergeCell ref="AQ33:AT33"/>
    <mergeCell ref="X33:Y33"/>
    <mergeCell ref="Z33:AA33"/>
    <mergeCell ref="AG33:AH33"/>
    <mergeCell ref="AK33:AL33"/>
    <mergeCell ref="AM33:AN33"/>
    <mergeCell ref="AO33:AP33"/>
    <mergeCell ref="A32:B32"/>
    <mergeCell ref="C32:E32"/>
    <mergeCell ref="F32:G32"/>
    <mergeCell ref="L32:M32"/>
    <mergeCell ref="R32:S32"/>
    <mergeCell ref="V32:W32"/>
    <mergeCell ref="X32:Y32"/>
    <mergeCell ref="Z32:AA32"/>
    <mergeCell ref="AG32:AH32"/>
    <mergeCell ref="L34:M34"/>
    <mergeCell ref="R34:S34"/>
    <mergeCell ref="V34:W34"/>
    <mergeCell ref="X34:Y34"/>
    <mergeCell ref="Z34:AA34"/>
    <mergeCell ref="AG34:AH34"/>
    <mergeCell ref="AK32:AL32"/>
    <mergeCell ref="AM32:AN32"/>
    <mergeCell ref="AO32:AP32"/>
    <mergeCell ref="V36:W36"/>
    <mergeCell ref="X36:Y36"/>
    <mergeCell ref="Z36:AA36"/>
    <mergeCell ref="AG36:AH36"/>
    <mergeCell ref="AK34:AL34"/>
    <mergeCell ref="AM34:AN34"/>
    <mergeCell ref="AO34:AP34"/>
    <mergeCell ref="AQ34:AT34"/>
    <mergeCell ref="A35:B35"/>
    <mergeCell ref="C35:E35"/>
    <mergeCell ref="F35:G35"/>
    <mergeCell ref="L35:M35"/>
    <mergeCell ref="R35:S35"/>
    <mergeCell ref="V35:W35"/>
    <mergeCell ref="AQ35:AT35"/>
    <mergeCell ref="X35:Y35"/>
    <mergeCell ref="Z35:AA35"/>
    <mergeCell ref="AG35:AH35"/>
    <mergeCell ref="AK35:AL35"/>
    <mergeCell ref="AM35:AN35"/>
    <mergeCell ref="AO35:AP35"/>
    <mergeCell ref="A34:B34"/>
    <mergeCell ref="C34:E34"/>
    <mergeCell ref="F34:G34"/>
    <mergeCell ref="Z38:AA38"/>
    <mergeCell ref="AG38:AH38"/>
    <mergeCell ref="AK36:AL36"/>
    <mergeCell ref="AM36:AN36"/>
    <mergeCell ref="AO36:AP36"/>
    <mergeCell ref="AQ36:AT36"/>
    <mergeCell ref="A37:B37"/>
    <mergeCell ref="C37:E37"/>
    <mergeCell ref="F37:G37"/>
    <mergeCell ref="L37:M37"/>
    <mergeCell ref="R37:S37"/>
    <mergeCell ref="V37:W37"/>
    <mergeCell ref="AQ37:AT37"/>
    <mergeCell ref="X37:Y37"/>
    <mergeCell ref="Z37:AA37"/>
    <mergeCell ref="AG37:AH37"/>
    <mergeCell ref="AK37:AL37"/>
    <mergeCell ref="AM37:AN37"/>
    <mergeCell ref="AO37:AP37"/>
    <mergeCell ref="A36:B36"/>
    <mergeCell ref="C36:E36"/>
    <mergeCell ref="F36:G36"/>
    <mergeCell ref="L36:M36"/>
    <mergeCell ref="R36:S36"/>
    <mergeCell ref="AK38:AL38"/>
    <mergeCell ref="AM38:AN38"/>
    <mergeCell ref="AO38:AP38"/>
    <mergeCell ref="AQ38:AT38"/>
    <mergeCell ref="A39:B39"/>
    <mergeCell ref="C39:E39"/>
    <mergeCell ref="F39:G39"/>
    <mergeCell ref="L39:M39"/>
    <mergeCell ref="R39:S39"/>
    <mergeCell ref="V39:W39"/>
    <mergeCell ref="AQ39:AT39"/>
    <mergeCell ref="X39:Y39"/>
    <mergeCell ref="Z39:AA39"/>
    <mergeCell ref="AG39:AH39"/>
    <mergeCell ref="AK39:AL39"/>
    <mergeCell ref="AM39:AN39"/>
    <mergeCell ref="AO39:AP39"/>
    <mergeCell ref="A38:B38"/>
    <mergeCell ref="C38:E38"/>
    <mergeCell ref="F38:G38"/>
    <mergeCell ref="L38:M38"/>
    <mergeCell ref="R38:S38"/>
    <mergeCell ref="V38:W38"/>
    <mergeCell ref="X38:Y38"/>
    <mergeCell ref="AQ40:AT40"/>
    <mergeCell ref="A41:B41"/>
    <mergeCell ref="C41:E41"/>
    <mergeCell ref="F41:G41"/>
    <mergeCell ref="L41:M41"/>
    <mergeCell ref="R41:S41"/>
    <mergeCell ref="V41:W41"/>
    <mergeCell ref="AQ41:AT41"/>
    <mergeCell ref="X41:Y41"/>
    <mergeCell ref="Z41:AA41"/>
    <mergeCell ref="AG41:AH41"/>
    <mergeCell ref="AK41:AL41"/>
    <mergeCell ref="AM41:AN41"/>
    <mergeCell ref="AO41:AP41"/>
    <mergeCell ref="A40:B40"/>
    <mergeCell ref="C40:E40"/>
    <mergeCell ref="F40:G40"/>
    <mergeCell ref="L40:M40"/>
    <mergeCell ref="R40:S40"/>
    <mergeCell ref="V40:W40"/>
    <mergeCell ref="X40:Y40"/>
    <mergeCell ref="Z40:AA40"/>
    <mergeCell ref="AG40:AH40"/>
    <mergeCell ref="L42:M42"/>
    <mergeCell ref="R42:S42"/>
    <mergeCell ref="V42:W42"/>
    <mergeCell ref="X42:Y42"/>
    <mergeCell ref="Z42:AA42"/>
    <mergeCell ref="AG42:AH42"/>
    <mergeCell ref="AK40:AL40"/>
    <mergeCell ref="AM40:AN40"/>
    <mergeCell ref="AO40:AP40"/>
    <mergeCell ref="V44:W44"/>
    <mergeCell ref="X44:Y44"/>
    <mergeCell ref="Z44:AA44"/>
    <mergeCell ref="AG44:AH44"/>
    <mergeCell ref="AK42:AL42"/>
    <mergeCell ref="AM42:AN42"/>
    <mergeCell ref="AO42:AP42"/>
    <mergeCell ref="AQ42:AT42"/>
    <mergeCell ref="A43:B43"/>
    <mergeCell ref="C43:E43"/>
    <mergeCell ref="F43:G43"/>
    <mergeCell ref="L43:M43"/>
    <mergeCell ref="R43:S43"/>
    <mergeCell ref="V43:W43"/>
    <mergeCell ref="AQ43:AT43"/>
    <mergeCell ref="X43:Y43"/>
    <mergeCell ref="Z43:AA43"/>
    <mergeCell ref="AG43:AH43"/>
    <mergeCell ref="AK43:AL43"/>
    <mergeCell ref="AM43:AN43"/>
    <mergeCell ref="AO43:AP43"/>
    <mergeCell ref="A42:B42"/>
    <mergeCell ref="C42:E42"/>
    <mergeCell ref="F42:G42"/>
    <mergeCell ref="Z46:AA46"/>
    <mergeCell ref="AG46:AH46"/>
    <mergeCell ref="AK44:AL44"/>
    <mergeCell ref="AM44:AN44"/>
    <mergeCell ref="AO44:AP44"/>
    <mergeCell ref="AQ44:AT44"/>
    <mergeCell ref="A45:B45"/>
    <mergeCell ref="C45:E45"/>
    <mergeCell ref="F45:G45"/>
    <mergeCell ref="L45:M45"/>
    <mergeCell ref="R45:S45"/>
    <mergeCell ref="V45:W45"/>
    <mergeCell ref="AQ45:AT45"/>
    <mergeCell ref="X45:Y45"/>
    <mergeCell ref="Z45:AA45"/>
    <mergeCell ref="AG45:AH45"/>
    <mergeCell ref="AK45:AL45"/>
    <mergeCell ref="AM45:AN45"/>
    <mergeCell ref="AO45:AP45"/>
    <mergeCell ref="A44:B44"/>
    <mergeCell ref="C44:E44"/>
    <mergeCell ref="F44:G44"/>
    <mergeCell ref="L44:M44"/>
    <mergeCell ref="R44:S44"/>
    <mergeCell ref="AK46:AL46"/>
    <mergeCell ref="AM46:AN46"/>
    <mergeCell ref="AO46:AP46"/>
    <mergeCell ref="AQ46:AT46"/>
    <mergeCell ref="A47:B47"/>
    <mergeCell ref="C47:E47"/>
    <mergeCell ref="F47:G47"/>
    <mergeCell ref="L47:M47"/>
    <mergeCell ref="R47:S47"/>
    <mergeCell ref="V47:W47"/>
    <mergeCell ref="AQ47:AT47"/>
    <mergeCell ref="X47:Y47"/>
    <mergeCell ref="Z47:AA47"/>
    <mergeCell ref="AG47:AH47"/>
    <mergeCell ref="AK47:AL47"/>
    <mergeCell ref="AM47:AN47"/>
    <mergeCell ref="AO47:AP47"/>
    <mergeCell ref="A46:B46"/>
    <mergeCell ref="C46:E46"/>
    <mergeCell ref="F46:G46"/>
    <mergeCell ref="L46:M46"/>
    <mergeCell ref="R46:S46"/>
    <mergeCell ref="V46:W46"/>
    <mergeCell ref="X46:Y46"/>
    <mergeCell ref="AQ48:AT48"/>
    <mergeCell ref="A49:B49"/>
    <mergeCell ref="C49:E49"/>
    <mergeCell ref="F49:G49"/>
    <mergeCell ref="L49:M49"/>
    <mergeCell ref="R49:S49"/>
    <mergeCell ref="V49:W49"/>
    <mergeCell ref="AQ49:AT49"/>
    <mergeCell ref="X49:Y49"/>
    <mergeCell ref="Z49:AA49"/>
    <mergeCell ref="AG49:AH49"/>
    <mergeCell ref="AK49:AL49"/>
    <mergeCell ref="AM49:AN49"/>
    <mergeCell ref="AO49:AP49"/>
    <mergeCell ref="A48:B48"/>
    <mergeCell ref="C48:E48"/>
    <mergeCell ref="F48:G48"/>
    <mergeCell ref="L48:M48"/>
    <mergeCell ref="R48:S48"/>
    <mergeCell ref="V48:W48"/>
    <mergeCell ref="X48:Y48"/>
    <mergeCell ref="Z48:AA48"/>
    <mergeCell ref="AG48:AH48"/>
    <mergeCell ref="L50:M50"/>
    <mergeCell ref="R50:S50"/>
    <mergeCell ref="V50:W50"/>
    <mergeCell ref="X50:Y50"/>
    <mergeCell ref="Z50:AA50"/>
    <mergeCell ref="AG50:AH50"/>
    <mergeCell ref="AK48:AL48"/>
    <mergeCell ref="AM48:AN48"/>
    <mergeCell ref="AO48:AP48"/>
    <mergeCell ref="V52:W52"/>
    <mergeCell ref="X52:Y52"/>
    <mergeCell ref="Z52:AA52"/>
    <mergeCell ref="AG52:AH52"/>
    <mergeCell ref="AK50:AL50"/>
    <mergeCell ref="AM50:AN50"/>
    <mergeCell ref="AO50:AP50"/>
    <mergeCell ref="AQ50:AT50"/>
    <mergeCell ref="A51:B51"/>
    <mergeCell ref="C51:E51"/>
    <mergeCell ref="F51:G51"/>
    <mergeCell ref="L51:M51"/>
    <mergeCell ref="R51:S51"/>
    <mergeCell ref="V51:W51"/>
    <mergeCell ref="AQ51:AT51"/>
    <mergeCell ref="X51:Y51"/>
    <mergeCell ref="Z51:AA51"/>
    <mergeCell ref="AG51:AH51"/>
    <mergeCell ref="AK51:AL51"/>
    <mergeCell ref="AM51:AN51"/>
    <mergeCell ref="AO51:AP51"/>
    <mergeCell ref="A50:B50"/>
    <mergeCell ref="C50:E50"/>
    <mergeCell ref="F50:G50"/>
    <mergeCell ref="Z54:AA54"/>
    <mergeCell ref="AG54:AH54"/>
    <mergeCell ref="AK52:AL52"/>
    <mergeCell ref="AM52:AN52"/>
    <mergeCell ref="AO52:AP52"/>
    <mergeCell ref="AQ52:AT52"/>
    <mergeCell ref="A53:B53"/>
    <mergeCell ref="C53:E53"/>
    <mergeCell ref="F53:G53"/>
    <mergeCell ref="L53:M53"/>
    <mergeCell ref="R53:S53"/>
    <mergeCell ref="V53:W53"/>
    <mergeCell ref="AQ53:AT53"/>
    <mergeCell ref="X53:Y53"/>
    <mergeCell ref="Z53:AA53"/>
    <mergeCell ref="AG53:AH53"/>
    <mergeCell ref="AK53:AL53"/>
    <mergeCell ref="AM53:AN53"/>
    <mergeCell ref="AO53:AP53"/>
    <mergeCell ref="A52:B52"/>
    <mergeCell ref="C52:E52"/>
    <mergeCell ref="F52:G52"/>
    <mergeCell ref="L52:M52"/>
    <mergeCell ref="R52:S52"/>
    <mergeCell ref="AK54:AL54"/>
    <mergeCell ref="AM54:AN54"/>
    <mergeCell ref="AO54:AP54"/>
    <mergeCell ref="AQ54:AT54"/>
    <mergeCell ref="A55:B55"/>
    <mergeCell ref="C55:E55"/>
    <mergeCell ref="F55:G55"/>
    <mergeCell ref="L55:M55"/>
    <mergeCell ref="R55:S55"/>
    <mergeCell ref="V55:W55"/>
    <mergeCell ref="AQ55:AT55"/>
    <mergeCell ref="X55:Y55"/>
    <mergeCell ref="Z55:AA55"/>
    <mergeCell ref="AG55:AH55"/>
    <mergeCell ref="AK55:AL55"/>
    <mergeCell ref="AM55:AN55"/>
    <mergeCell ref="AO55:AP55"/>
    <mergeCell ref="A54:B54"/>
    <mergeCell ref="C54:E54"/>
    <mergeCell ref="F54:G54"/>
    <mergeCell ref="L54:M54"/>
    <mergeCell ref="R54:S54"/>
    <mergeCell ref="V54:W54"/>
    <mergeCell ref="X54:Y54"/>
    <mergeCell ref="AK56:AL56"/>
    <mergeCell ref="AM56:AN56"/>
    <mergeCell ref="AO56:AP56"/>
    <mergeCell ref="AQ56:AT56"/>
    <mergeCell ref="A56:B56"/>
    <mergeCell ref="C56:E56"/>
    <mergeCell ref="F56:G56"/>
    <mergeCell ref="L56:M56"/>
    <mergeCell ref="R56:S56"/>
    <mergeCell ref="V56:W56"/>
    <mergeCell ref="X56:Y56"/>
    <mergeCell ref="Z56:AA56"/>
    <mergeCell ref="AG56:AH56"/>
    <mergeCell ref="AK57:AL57"/>
    <mergeCell ref="AM57:AN57"/>
    <mergeCell ref="AO57:AP57"/>
    <mergeCell ref="AQ57:AT57"/>
    <mergeCell ref="A58:B58"/>
    <mergeCell ref="C58:E58"/>
    <mergeCell ref="F58:G58"/>
    <mergeCell ref="L58:M58"/>
    <mergeCell ref="R58:S58"/>
    <mergeCell ref="V58:W58"/>
    <mergeCell ref="AQ58:AT58"/>
    <mergeCell ref="A57:B57"/>
    <mergeCell ref="C57:E57"/>
    <mergeCell ref="F57:G57"/>
    <mergeCell ref="L57:M57"/>
    <mergeCell ref="R57:S57"/>
    <mergeCell ref="V57:W57"/>
    <mergeCell ref="X57:Y57"/>
    <mergeCell ref="Z57:AA57"/>
    <mergeCell ref="AG57:AH57"/>
    <mergeCell ref="A60:E60"/>
    <mergeCell ref="Z60:AK60"/>
    <mergeCell ref="AM60:AO60"/>
    <mergeCell ref="AP60:AQ60"/>
    <mergeCell ref="AR60:AT60"/>
    <mergeCell ref="X58:Y58"/>
    <mergeCell ref="Z58:AA58"/>
    <mergeCell ref="AG58:AH58"/>
    <mergeCell ref="AK58:AL58"/>
    <mergeCell ref="AM58:AN58"/>
    <mergeCell ref="AO58:AP58"/>
    <mergeCell ref="A61:X62"/>
    <mergeCell ref="Z61:AK62"/>
    <mergeCell ref="AM61:AO61"/>
    <mergeCell ref="AP61:AQ61"/>
    <mergeCell ref="AM62:AQ62"/>
    <mergeCell ref="B63:F65"/>
    <mergeCell ref="G63:S64"/>
    <mergeCell ref="T63:V65"/>
    <mergeCell ref="Z63:AK64"/>
    <mergeCell ref="AM64:AQ64"/>
    <mergeCell ref="G65:S65"/>
    <mergeCell ref="AM65:AQ65"/>
    <mergeCell ref="B66:F67"/>
    <mergeCell ref="G66:S66"/>
    <mergeCell ref="AM66:AQ66"/>
    <mergeCell ref="G67:S67"/>
    <mergeCell ref="AM67:AQ67"/>
    <mergeCell ref="B68:F69"/>
    <mergeCell ref="G68:S68"/>
    <mergeCell ref="T68:V69"/>
    <mergeCell ref="AM68:AQ68"/>
    <mergeCell ref="G69:S69"/>
    <mergeCell ref="AM69:AQ69"/>
    <mergeCell ref="A70:X73"/>
    <mergeCell ref="AM70:AQ70"/>
    <mergeCell ref="AM71:AQ71"/>
    <mergeCell ref="AN85:AT85"/>
    <mergeCell ref="Z78:AK78"/>
    <mergeCell ref="AN80:AT80"/>
    <mergeCell ref="Z82:AK82"/>
    <mergeCell ref="Z83:AK83"/>
    <mergeCell ref="AN84:AT84"/>
    <mergeCell ref="AM72:AQ72"/>
    <mergeCell ref="AM73:AQ73"/>
    <mergeCell ref="AM74:AQ74"/>
    <mergeCell ref="AM75:AT75"/>
    <mergeCell ref="Z85:AK85"/>
    <mergeCell ref="AN79:AT79"/>
  </mergeCells>
  <pageMargins left="0.17" right="0.17" top="0.27559055118110198" bottom="0.27559055118110198" header="0" footer="0"/>
  <pageSetup paperSize="258" scale="75" firstPageNumber="0" fitToWidth="0" fitToHeight="0" pageOrder="overThenDown"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month</vt:lpstr>
      <vt:lpstr>month!Print_Area</vt:lpstr>
      <vt:lpstr>month!Print_Titles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2026-05-01T05:26:56Z</dcterms:created>
  <dcterms:modified xsi:type="dcterms:W3CDTF">2026-07-16T08:57:41Z</dcterms:modified>
</cp:coreProperties>
</file>