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defaultThemeVersion="166925"/>
  <xr:revisionPtr revIDLastSave="0" documentId="13_ncr:1_{1596A671-0A26-47D4-BB42-187AECCF3D0D}" xr6:coauthVersionLast="47" xr6:coauthVersionMax="47" xr10:uidLastSave="{00000000-0000-0000-0000-000000000000}"/>
  <bookViews>
    <workbookView xWindow="-110" yWindow="-110" windowWidth="19420" windowHeight="10300" xr2:uid="{00000000-000D-0000-FFFF-FFFF00000000}"/>
  </bookViews>
  <sheets>
    <sheet name="mont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54" i="1" l="1"/>
  <c r="AT73" i="1"/>
  <c r="AT71" i="1"/>
  <c r="AT69" i="1"/>
  <c r="AT68" i="1"/>
  <c r="AO38" i="1" l="1" a="1"/>
  <c r="AO38" i="1" s="1"/>
  <c r="AO39" i="1" a="1"/>
  <c r="AO39" i="1" s="1"/>
  <c r="AO40" i="1" a="1"/>
  <c r="AO40" i="1"/>
  <c r="AO41" i="1" a="1"/>
  <c r="AO41" i="1"/>
  <c r="AO42" i="1" a="1"/>
  <c r="AO42" i="1" s="1"/>
  <c r="AO43" i="1" a="1"/>
  <c r="AO43" i="1"/>
  <c r="AO44" i="1" a="1"/>
  <c r="AO44" i="1" s="1"/>
  <c r="AO45" i="1" a="1"/>
  <c r="AO45" i="1" s="1"/>
  <c r="AO46" i="1" a="1"/>
  <c r="AO46" i="1"/>
  <c r="AO47" i="1" a="1"/>
  <c r="AO47" i="1" s="1"/>
  <c r="AO48" i="1" a="1"/>
  <c r="AO48" i="1" s="1"/>
  <c r="AO49" i="1" a="1"/>
  <c r="AO49" i="1"/>
  <c r="AO50" i="1" a="1"/>
  <c r="AO50" i="1" s="1"/>
  <c r="AM38" i="1" a="1"/>
  <c r="AM38" i="1" s="1"/>
  <c r="AM39" i="1" a="1"/>
  <c r="AM39" i="1" s="1"/>
  <c r="AM40" i="1" a="1"/>
  <c r="AM40" i="1"/>
  <c r="AM41" i="1" a="1"/>
  <c r="AM41" i="1" s="1"/>
  <c r="AM42" i="1" a="1"/>
  <c r="AM42" i="1"/>
  <c r="AM43" i="1" a="1"/>
  <c r="AM43" i="1"/>
  <c r="AM44" i="1" a="1"/>
  <c r="AM44" i="1" s="1"/>
  <c r="AM45" i="1" a="1"/>
  <c r="AM45" i="1" s="1"/>
  <c r="AM46" i="1" a="1"/>
  <c r="AM46" i="1" s="1"/>
  <c r="AM47" i="1" a="1"/>
  <c r="AM47" i="1"/>
  <c r="AM48" i="1" a="1"/>
  <c r="AM48" i="1" s="1"/>
  <c r="AM49" i="1" a="1"/>
  <c r="AM49" i="1" s="1"/>
  <c r="AM50" i="1" a="1"/>
  <c r="AM50" i="1" s="1"/>
  <c r="AO20" i="1" a="1"/>
  <c r="AO20" i="1" s="1"/>
  <c r="AO21" i="1" a="1"/>
  <c r="AO21" i="1" s="1"/>
  <c r="AO22" i="1" a="1"/>
  <c r="AO22" i="1" s="1"/>
  <c r="AO23" i="1" a="1"/>
  <c r="AO23" i="1" s="1"/>
  <c r="AM20" i="1" a="1"/>
  <c r="AM20" i="1" s="1"/>
  <c r="AM21" i="1" a="1"/>
  <c r="AM21" i="1" s="1"/>
  <c r="AM22" i="1" a="1"/>
  <c r="AM22" i="1" s="1"/>
  <c r="AM23" i="1" a="1"/>
  <c r="AM23" i="1" s="1"/>
  <c r="AL52" i="1"/>
  <c r="AH52" i="1"/>
  <c r="AA52" i="1"/>
  <c r="Y52" i="1"/>
  <c r="W52" i="1"/>
  <c r="S52" i="1"/>
  <c r="M52" i="1"/>
  <c r="AK51" i="1" l="1" a="1"/>
  <c r="AK51" i="1" s="1"/>
  <c r="AJ51" i="1" a="1"/>
  <c r="AJ51" i="1" s="1"/>
  <c r="AI51" i="1" a="1"/>
  <c r="AI51" i="1" s="1"/>
  <c r="AG51" i="1" a="1"/>
  <c r="AG51" i="1" s="1"/>
  <c r="AF51" i="1" a="1"/>
  <c r="AF51" i="1" s="1"/>
  <c r="AE51" i="1" a="1"/>
  <c r="AE51" i="1" s="1"/>
  <c r="AD51" i="1" a="1"/>
  <c r="AD51" i="1" s="1"/>
  <c r="AC51" i="1" a="1"/>
  <c r="AC51" i="1" s="1"/>
  <c r="AB51" i="1" a="1"/>
  <c r="AB51" i="1" s="1"/>
  <c r="Z51" i="1" a="1"/>
  <c r="Z51" i="1" s="1"/>
  <c r="X51" i="1" a="1"/>
  <c r="X51" i="1" s="1"/>
  <c r="V51" i="1" a="1"/>
  <c r="V51" i="1" s="1"/>
  <c r="U51" i="1" a="1"/>
  <c r="U51" i="1" s="1"/>
  <c r="T51" i="1" a="1"/>
  <c r="T51" i="1" s="1"/>
  <c r="R51" i="1" a="1"/>
  <c r="R51" i="1" s="1"/>
  <c r="Q51" i="1" a="1"/>
  <c r="Q51" i="1" s="1"/>
  <c r="P51" i="1" a="1"/>
  <c r="P51" i="1" s="1"/>
  <c r="O51" i="1" a="1"/>
  <c r="O51" i="1" s="1"/>
  <c r="N51" i="1" a="1"/>
  <c r="N51" i="1" s="1"/>
  <c r="L51" i="1" a="1"/>
  <c r="L51" i="1" s="1"/>
  <c r="K51" i="1" a="1"/>
  <c r="K51" i="1" s="1"/>
  <c r="J51" i="1" a="1"/>
  <c r="J51" i="1" s="1"/>
  <c r="I51" i="1" a="1"/>
  <c r="I51" i="1" s="1"/>
  <c r="H51" i="1" a="1"/>
  <c r="H51" i="1" s="1"/>
  <c r="F51" i="1" a="1"/>
  <c r="F51" i="1" s="1"/>
  <c r="A51" i="1"/>
  <c r="AS55" i="1" s="1"/>
  <c r="AS61" i="1" s="1"/>
  <c r="AS63" i="1" s="1"/>
  <c r="AO37" i="1" a="1"/>
  <c r="AO37" i="1" s="1"/>
  <c r="AM37" i="1" a="1"/>
  <c r="AM37" i="1" s="1"/>
  <c r="AO36" i="1" a="1"/>
  <c r="AO36" i="1" s="1"/>
  <c r="AM36" i="1" a="1"/>
  <c r="AM36" i="1" s="1"/>
  <c r="AO35" i="1" a="1"/>
  <c r="AO35" i="1" s="1"/>
  <c r="AM35" i="1" a="1"/>
  <c r="AM35" i="1" s="1"/>
  <c r="AO34" i="1" a="1"/>
  <c r="AO34" i="1" s="1"/>
  <c r="AM34" i="1" a="1"/>
  <c r="AM34" i="1" s="1"/>
  <c r="AO33" i="1" a="1"/>
  <c r="AO33" i="1" s="1"/>
  <c r="AM33" i="1" a="1"/>
  <c r="AM33" i="1" s="1"/>
  <c r="AO32" i="1" a="1"/>
  <c r="AO32" i="1" s="1"/>
  <c r="AM32" i="1" a="1"/>
  <c r="AM32" i="1" s="1"/>
  <c r="AO31" i="1" a="1"/>
  <c r="AO31" i="1" s="1"/>
  <c r="AM31" i="1" a="1"/>
  <c r="AM31" i="1" s="1"/>
  <c r="AO30" i="1" a="1"/>
  <c r="AO30" i="1" s="1"/>
  <c r="AM30" i="1" a="1"/>
  <c r="AM30" i="1" s="1"/>
  <c r="AO29" i="1" a="1"/>
  <c r="AO29" i="1" s="1"/>
  <c r="AM29" i="1" a="1"/>
  <c r="AM29" i="1" s="1"/>
  <c r="AO28" i="1" a="1"/>
  <c r="AO28" i="1" s="1"/>
  <c r="AM28" i="1" a="1"/>
  <c r="AM28" i="1" s="1"/>
  <c r="AO27" i="1" a="1"/>
  <c r="AO27" i="1" s="1"/>
  <c r="AM27" i="1" a="1"/>
  <c r="AM27" i="1" s="1"/>
  <c r="AO26" i="1" a="1"/>
  <c r="AO26" i="1" s="1"/>
  <c r="AM26" i="1" a="1"/>
  <c r="AM26" i="1" s="1"/>
  <c r="AO25" i="1" a="1"/>
  <c r="AO25" i="1" s="1"/>
  <c r="AM25" i="1" a="1"/>
  <c r="AM25" i="1" s="1"/>
  <c r="AK24" i="1" a="1"/>
  <c r="AK24" i="1" s="1"/>
  <c r="AJ24" i="1" a="1"/>
  <c r="AJ24" i="1" s="1"/>
  <c r="AI24" i="1" a="1"/>
  <c r="AI24" i="1" s="1"/>
  <c r="AG24" i="1" a="1"/>
  <c r="AG24" i="1" s="1"/>
  <c r="AF24" i="1" a="1"/>
  <c r="AF24" i="1" s="1"/>
  <c r="AE24" i="1" a="1"/>
  <c r="AE24" i="1" s="1"/>
  <c r="AD24" i="1" a="1"/>
  <c r="AD24" i="1" s="1"/>
  <c r="AC24" i="1" a="1"/>
  <c r="AC24" i="1" s="1"/>
  <c r="AB24" i="1" a="1"/>
  <c r="AB24" i="1" s="1"/>
  <c r="Z24" i="1" a="1"/>
  <c r="Z24" i="1" s="1"/>
  <c r="X24" i="1" a="1"/>
  <c r="X24" i="1" s="1"/>
  <c r="V24" i="1" a="1"/>
  <c r="V24" i="1" s="1"/>
  <c r="U24" i="1" a="1"/>
  <c r="U24" i="1" s="1"/>
  <c r="T24" i="1" a="1"/>
  <c r="T24" i="1" s="1"/>
  <c r="R24" i="1" a="1"/>
  <c r="R24" i="1" s="1"/>
  <c r="Q24" i="1" a="1"/>
  <c r="Q24" i="1" s="1"/>
  <c r="P24" i="1" a="1"/>
  <c r="P24" i="1" s="1"/>
  <c r="O24" i="1" a="1"/>
  <c r="O24" i="1" s="1"/>
  <c r="N24" i="1" a="1"/>
  <c r="N24" i="1" s="1"/>
  <c r="L24" i="1" a="1"/>
  <c r="L24" i="1" s="1"/>
  <c r="K24" i="1" a="1"/>
  <c r="K24" i="1" s="1"/>
  <c r="J24" i="1" a="1"/>
  <c r="J24" i="1" s="1"/>
  <c r="I24" i="1" a="1"/>
  <c r="I24" i="1" s="1"/>
  <c r="H24" i="1" a="1"/>
  <c r="H24" i="1" s="1"/>
  <c r="F24" i="1" a="1"/>
  <c r="F24" i="1" s="1"/>
  <c r="A24" i="1"/>
  <c r="AO19" i="1" a="1"/>
  <c r="AO19" i="1"/>
  <c r="AM19" i="1" a="1"/>
  <c r="AM19" i="1"/>
  <c r="AO18" i="1" a="1"/>
  <c r="AO18" i="1"/>
  <c r="AM18" i="1" a="1"/>
  <c r="AM18" i="1"/>
  <c r="AO17" i="1" a="1"/>
  <c r="AO17" i="1"/>
  <c r="AM17" i="1" a="1"/>
  <c r="AM17" i="1"/>
  <c r="AO16" i="1" a="1"/>
  <c r="AO16" i="1"/>
  <c r="AM16" i="1" a="1"/>
  <c r="AM16" i="1"/>
  <c r="AO15" i="1" a="1"/>
  <c r="AO15" i="1"/>
  <c r="AM15" i="1" a="1"/>
  <c r="AM15" i="1"/>
  <c r="AO14" i="1" a="1"/>
  <c r="AO14" i="1"/>
  <c r="AM14" i="1" a="1"/>
  <c r="AM14" i="1"/>
  <c r="AO13" i="1" a="1"/>
  <c r="AO13" i="1"/>
  <c r="AM13" i="1" a="1"/>
  <c r="AM13" i="1"/>
  <c r="AO12" i="1" a="1"/>
  <c r="AO12" i="1"/>
  <c r="AM12" i="1" a="1"/>
  <c r="AM12" i="1"/>
  <c r="AO11" i="1" a="1"/>
  <c r="AO11" i="1"/>
  <c r="AM11" i="1" a="1"/>
  <c r="AM11" i="1"/>
  <c r="AO10" i="1" a="1"/>
  <c r="AO10" i="1" s="1"/>
  <c r="AM10" i="1" a="1"/>
  <c r="AM10" i="1"/>
  <c r="AO9" i="1" a="1"/>
  <c r="AO9" i="1"/>
  <c r="AM9" i="1" a="1"/>
  <c r="AM9" i="1"/>
  <c r="AO8" i="1" a="1"/>
  <c r="AO8" i="1"/>
  <c r="AM8" i="1" a="1"/>
  <c r="AM8" i="1"/>
  <c r="K52" i="1" l="1"/>
  <c r="AB52" i="1"/>
  <c r="A52" i="1"/>
  <c r="F52" i="1"/>
  <c r="H52" i="1"/>
  <c r="AE52" i="1"/>
  <c r="AD52" i="1"/>
  <c r="AC52" i="1"/>
  <c r="O52" i="1"/>
  <c r="N52" i="1"/>
  <c r="L52" i="1"/>
  <c r="R52" i="1"/>
  <c r="AI52" i="1"/>
  <c r="AM24" i="1"/>
  <c r="P52" i="1"/>
  <c r="AF52" i="1"/>
  <c r="T52" i="1"/>
  <c r="AJ52" i="1"/>
  <c r="U52" i="1"/>
  <c r="V52" i="1"/>
  <c r="Q52" i="1"/>
  <c r="AG52" i="1"/>
  <c r="AK52" i="1"/>
  <c r="I52" i="1"/>
  <c r="X52" i="1"/>
  <c r="J52" i="1"/>
  <c r="Z52" i="1"/>
  <c r="AO24" i="1"/>
  <c r="AR65" i="1" s="1"/>
  <c r="AO51" i="1"/>
  <c r="AS65" i="1" s="1"/>
  <c r="AM51" i="1"/>
  <c r="AR55" i="1"/>
  <c r="AM52" i="1" l="1"/>
  <c r="AS67" i="1"/>
  <c r="AR61" i="1"/>
  <c r="AT55" i="1"/>
  <c r="AO52" i="1"/>
  <c r="AR63" i="1" l="1"/>
  <c r="AT61" i="1"/>
  <c r="AT63" i="1" l="1"/>
  <c r="AR67" i="1" l="1"/>
  <c r="AT67" i="1" s="1"/>
  <c r="AT65" i="1"/>
</calcChain>
</file>

<file path=xl/sharedStrings.xml><?xml version="1.0" encoding="utf-8"?>
<sst xmlns="http://schemas.openxmlformats.org/spreadsheetml/2006/main" count="566" uniqueCount="73">
  <si>
    <t>School Form 2 (SF2) Daily Attendance Report of Learners</t>
  </si>
  <si>
    <t>(This replaces Form 1, Form 2 &amp; STS Form 4 - Absenteeism and Dropout Profile)</t>
  </si>
  <si>
    <t xml:space="preserve">School ID </t>
  </si>
  <si>
    <t xml:space="preserve">School Year </t>
  </si>
  <si>
    <t>Report for the Month of</t>
  </si>
  <si>
    <t>Name of School</t>
  </si>
  <si>
    <t>Grade Level</t>
  </si>
  <si>
    <t xml:space="preserve">Section </t>
  </si>
  <si>
    <t>No.</t>
  </si>
  <si>
    <t>NAME
(Last Name, First Name, Middle Name)</t>
  </si>
  <si>
    <t>F</t>
  </si>
  <si>
    <t>Total for the Month</t>
  </si>
  <si>
    <t>REMARKS (If DROPPED OUT, state reason, please refer to legend number 2. If TRANSFERRED IN/OUT, write the name of School.)</t>
  </si>
  <si>
    <t>M</t>
  </si>
  <si>
    <t>W</t>
  </si>
  <si>
    <t>TH</t>
  </si>
  <si>
    <t>T</t>
  </si>
  <si>
    <t>ABSENT</t>
  </si>
  <si>
    <t>PRESENT</t>
  </si>
  <si>
    <t/>
  </si>
  <si>
    <t>&lt;=== MALE | TOTAL Per Day ===&gt;</t>
  </si>
  <si>
    <t>&lt;=== FEMALE | TOTAL Per Day ===&gt;</t>
  </si>
  <si>
    <t>Combined TOTAL Per Day</t>
  </si>
  <si>
    <t>GUIDELINES:</t>
  </si>
  <si>
    <t>1. CODES FOR CHECKING ATTENDANCE</t>
  </si>
  <si>
    <t>Month :</t>
  </si>
  <si>
    <t>No. of Days of Classes:</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</si>
  <si>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</si>
  <si>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</si>
  <si>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</si>
  <si>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</si>
  <si>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</si>
  <si>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</si>
  <si>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</si>
  <si>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</si>
  <si>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</si>
  <si>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</si>
  <si>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</si>
  <si>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</si>
  <si>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</si>
  <si>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</si>
  <si>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</si>
  <si>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</si>
  <si>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</si>
  <si>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</si>
  <si>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</si>
  <si>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</si>
  <si>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</si>
  <si>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</si>
  <si>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</si>
  <si>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</si>
  <si>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</si>
  <si>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</si>
  <si>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</si>
  <si>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</si>
  <si>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</si>
  <si>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</si>
  <si>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</si>
  <si>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</si>
  <si>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</si>
  <si>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c.1. Teacher Factor
c.2. Physical condition of classroom
c.3. Peer influence</t>
  </si>
  <si>
    <t>Transferred in</t>
  </si>
  <si>
    <t>d. Geographic/Environmental</t>
  </si>
  <si>
    <t>I certify that this is a true and correct report.</t>
  </si>
  <si>
    <t>d.1. Distance between home and school
d.2. Armed conflict (incl. Tribal wars &amp; clanfeuds)
d.3. Calamities/Disasters</t>
  </si>
  <si>
    <t>e. Financial-Related</t>
  </si>
  <si>
    <t>e.1. Child labor, work</t>
  </si>
  <si>
    <t>(Signature of Adviser over Printed Name)</t>
  </si>
  <si>
    <t>f. Others (Specify)</t>
  </si>
  <si>
    <t>Attested by:</t>
  </si>
  <si>
    <t>Generated thru LIS</t>
  </si>
  <si>
    <t>(Signature of School Head over Printed Name)</t>
  </si>
  <si>
    <t>(1st row for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</si>
</sst>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7">
    <font>
      <sz val="11"/>
      <color theme="1"/>
      <name val="Calibri"/>
      <family val="2"/>
      <scheme val="minor"/>
    </font>
    <font>
      <sz val="10"/>
      <name val="Arial"/>
      <family val="2"/>
    </font>
    <font>
      <b/>
      <sz val="13"/>
      <name val="SansSerif"/>
    </font>
    <font>
      <i/>
      <sz val="5"/>
      <name val="SansSerif"/>
    </font>
    <font>
      <sz val="6"/>
      <name val="SansSerif"/>
    </font>
    <font>
      <sz val="9"/>
      <name val="SansSerif"/>
    </font>
    <font>
      <sz val="8"/>
      <name val="SansSerif"/>
    </font>
    <font>
      <b/>
      <sz val="6"/>
      <name val="SansSerif"/>
    </font>
    <font>
      <b/>
      <sz val="8"/>
      <name val="Arial"/>
    </font>
    <font>
      <b/>
      <sz val="8"/>
      <name val="SansSerif"/>
    </font>
    <font>
      <b/>
      <sz val="5"/>
      <name val="SansSerif"/>
    </font>
    <font>
      <sz val="7"/>
      <name val="SansSerif"/>
    </font>
    <font>
      <b/>
      <sz val="9"/>
      <name val="Arial Narrow"/>
      <family val="2"/>
    </font>
    <font>
      <sz val="5"/>
      <name val="SansSerif"/>
    </font>
    <font>
      <b/>
      <i/>
      <sz val="5"/>
      <name val="SansSerif"/>
    </font>
    <font>
      <i/>
      <sz val="8"/>
      <name val="SansSerif"/>
    </font>
    <font>
      <b/>
      <sz val="9"/>
      <name val="SansSerif"/>
    </font>
  </fonts>
  <fills count="3">
    <fill>
      <patternFill patternType="none"/>
    </fill>
    <fill>
      <patternFill patternType="gray125"/>
    </fill>
    <fill>
      <patternFill patternType="solid">
        <fgColor indexed="9"/>
        <bgColor indexed="64"/>
      </patternFill>
    </fill>
  </fills>
  <borders count="8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64"/>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top style="thin">
        <color indexed="8"/>
      </top>
      <bottom/>
      <diagonal/>
    </border>
    <border>
      <left style="medium">
        <color indexed="64"/>
      </left>
      <right/>
      <top style="thin">
        <color indexed="8"/>
      </top>
      <bottom/>
      <diagonal/>
    </border>
    <border>
      <left style="thin">
        <color indexed="8"/>
      </left>
      <right style="medium">
        <color indexed="64"/>
      </right>
      <top style="thin">
        <color indexed="8"/>
      </top>
      <bottom/>
      <diagonal/>
    </border>
    <border>
      <left/>
      <right/>
      <top style="thin">
        <color indexed="8"/>
      </top>
      <bottom/>
      <diagonal/>
    </border>
    <border>
      <left/>
      <right style="medium">
        <color indexed="8"/>
      </right>
      <top style="thin">
        <color indexed="8"/>
      </top>
      <bottom/>
      <diagonal/>
    </border>
    <border>
      <left style="thin">
        <color indexed="8"/>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8"/>
      </left>
      <right style="medium">
        <color indexed="8"/>
      </right>
      <top style="medium">
        <color indexed="64"/>
      </top>
      <bottom style="medium">
        <color indexed="64"/>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style="thin">
        <color indexed="8"/>
      </right>
      <top/>
      <bottom style="thin">
        <color indexed="8"/>
      </bottom>
      <diagonal/>
    </border>
    <border>
      <left/>
      <right/>
      <top/>
      <bottom style="thin">
        <color indexed="8"/>
      </bottom>
      <diagonal/>
    </border>
    <border>
      <left/>
      <right/>
      <top style="thin">
        <color indexed="8"/>
      </top>
      <bottom style="medium">
        <color indexed="8"/>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top/>
      <bottom style="medium">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right style="medium">
        <color indexed="8"/>
      </right>
      <top style="thin">
        <color indexed="8"/>
      </top>
      <bottom style="medium">
        <color indexed="8"/>
      </bottom>
      <diagonal/>
    </border>
    <border>
      <left/>
      <right style="thin">
        <color indexed="9"/>
      </right>
      <top/>
      <bottom/>
      <diagonal/>
    </border>
    <border>
      <left style="thin">
        <color indexed="8"/>
      </left>
      <right style="thin">
        <color indexed="8"/>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s>
  <cellStyleXfs count="1">
    <xf numFmtId="0" fontId="0" fillId="0" borderId="0"/>
  </cellStyleXfs>
  <cellXfs count="237">
    <xf numFmtId="0" fontId="0" fillId="0" borderId="0" xfId="0"/>
    <xf numFmtId="0" fontId="1" fillId="0" borderId="0" xfId="0" applyFont="1"/>
    <xf numFmtId="0" fontId="5" fillId="0" borderId="0" xfId="0" applyFont="1" applyAlignment="1">
      <alignment horizontal="left" vertical="top" wrapText="1"/>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4" fillId="0" borderId="20"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5" xfId="0" applyFont="1" applyBorder="1" applyAlignment="1">
      <alignment horizontal="center" vertical="center" wrapText="1"/>
    </xf>
    <xf numFmtId="0" fontId="5" fillId="0" borderId="13" xfId="0" applyFont="1" applyBorder="1" applyAlignment="1">
      <alignment horizontal="center"/>
    </xf>
    <xf numFmtId="0" fontId="5" fillId="0" borderId="1" xfId="0" applyFont="1" applyBorder="1" applyAlignment="1">
      <alignment horizont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3" xfId="0" applyFont="1" applyBorder="1" applyAlignment="1">
      <alignment horizontal="center"/>
    </xf>
    <xf numFmtId="0" fontId="5" fillId="0" borderId="14" xfId="0" applyFont="1" applyBorder="1" applyAlignment="1">
      <alignment horizontal="center"/>
    </xf>
    <xf numFmtId="0" fontId="5" fillId="0" borderId="35" xfId="0" applyFont="1" applyBorder="1" applyAlignment="1">
      <alignment horizontal="center"/>
    </xf>
    <xf numFmtId="0" fontId="5" fillId="0" borderId="23" xfId="0" applyFont="1" applyBorder="1" applyAlignment="1">
      <alignment horizontal="center"/>
    </xf>
    <xf numFmtId="0" fontId="5" fillId="0" borderId="36" xfId="0" applyFont="1" applyBorder="1" applyAlignment="1">
      <alignment horizontal="center"/>
    </xf>
    <xf numFmtId="0" fontId="5" fillId="0" borderId="38" xfId="0" applyFont="1" applyBorder="1" applyAlignment="1">
      <alignment horizontal="center"/>
    </xf>
    <xf numFmtId="0" fontId="5" fillId="0" borderId="41" xfId="0" applyFont="1" applyBorder="1" applyAlignment="1">
      <alignment horizontal="center"/>
    </xf>
    <xf numFmtId="0" fontId="5" fillId="0" borderId="42" xfId="0" applyFont="1" applyBorder="1" applyAlignment="1">
      <alignment horizontal="center"/>
    </xf>
    <xf numFmtId="0" fontId="5" fillId="0" borderId="47" xfId="0" applyFont="1" applyBorder="1" applyAlignment="1">
      <alignment horizontal="center" vertical="center"/>
    </xf>
    <xf numFmtId="0" fontId="5" fillId="0" borderId="48" xfId="0" applyFont="1" applyBorder="1" applyAlignment="1">
      <alignment horizontal="center" vertical="center"/>
    </xf>
    <xf numFmtId="0" fontId="5" fillId="0" borderId="51" xfId="0" applyFont="1" applyBorder="1" applyAlignment="1">
      <alignment horizontal="center" vertical="center"/>
    </xf>
    <xf numFmtId="0" fontId="5" fillId="0" borderId="56" xfId="0" applyFont="1" applyBorder="1" applyAlignment="1">
      <alignment horizontal="center"/>
    </xf>
    <xf numFmtId="0" fontId="5" fillId="0" borderId="57" xfId="0" applyFont="1" applyBorder="1" applyAlignment="1">
      <alignment horizontal="center"/>
    </xf>
    <xf numFmtId="0" fontId="5" fillId="0" borderId="60" xfId="0" applyFont="1" applyBorder="1" applyAlignment="1">
      <alignment horizontal="center"/>
    </xf>
    <xf numFmtId="0" fontId="5" fillId="0" borderId="64" xfId="0" applyFont="1" applyBorder="1" applyAlignment="1">
      <alignment horizontal="center" vertical="center"/>
    </xf>
    <xf numFmtId="0" fontId="5" fillId="0" borderId="65" xfId="0" applyFont="1" applyBorder="1" applyAlignment="1">
      <alignment horizontal="center" vertical="center"/>
    </xf>
    <xf numFmtId="0" fontId="10" fillId="0" borderId="20" xfId="0" applyFont="1" applyBorder="1" applyAlignment="1">
      <alignment horizontal="center" vertical="center" wrapText="1"/>
    </xf>
    <xf numFmtId="0" fontId="11" fillId="0" borderId="13"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2" fillId="0" borderId="0" xfId="0" applyFont="1" applyAlignment="1">
      <alignment horizontal="center" vertical="top" wrapText="1"/>
    </xf>
    <xf numFmtId="0" fontId="1" fillId="0" borderId="0" xfId="0" applyFont="1"/>
    <xf numFmtId="0" fontId="3" fillId="0" borderId="0" xfId="0" applyFont="1" applyAlignment="1">
      <alignment horizontal="center" vertical="top" wrapText="1"/>
    </xf>
    <xf numFmtId="0" fontId="4" fillId="0" borderId="0" xfId="0" applyFont="1" applyAlignment="1">
      <alignment horizontal="righ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12" xfId="0" applyFont="1" applyBorder="1" applyAlignment="1">
      <alignment horizontal="center"/>
    </xf>
    <xf numFmtId="0" fontId="5" fillId="0" borderId="3" xfId="0" applyFont="1" applyBorder="1" applyAlignment="1">
      <alignment horizontal="center" vertical="center" wrapText="1"/>
    </xf>
    <xf numFmtId="0" fontId="5" fillId="0" borderId="1" xfId="0" applyFont="1" applyBorder="1" applyAlignment="1">
      <alignment horizont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vertical="center" wrapText="1"/>
    </xf>
    <xf numFmtId="0" fontId="4" fillId="0" borderId="7" xfId="0" applyFont="1" applyBorder="1" applyAlignment="1">
      <alignment horizontal="center" vertical="center" wrapText="1"/>
    </xf>
    <xf numFmtId="0" fontId="8" fillId="0" borderId="8" xfId="0" applyFont="1" applyBorder="1" applyAlignment="1">
      <alignment horizontal="center" vertical="center"/>
    </xf>
    <xf numFmtId="0" fontId="4"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8" fillId="0" borderId="12" xfId="0" applyFont="1" applyBorder="1" applyAlignment="1">
      <alignment horizontal="center" vertical="center"/>
    </xf>
    <xf numFmtId="0" fontId="5" fillId="0" borderId="3" xfId="0" applyFont="1" applyBorder="1" applyAlignment="1">
      <alignment horizontal="left" vertical="top" wrapText="1"/>
    </xf>
    <xf numFmtId="0" fontId="8" fillId="0" borderId="1" xfId="0" applyFont="1" applyBorder="1" applyAlignment="1">
      <alignment horizontal="center"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4" xfId="0" applyFont="1" applyBorder="1" applyAlignment="1">
      <alignment horizontal="center" vertical="center" wrapText="1"/>
    </xf>
    <xf numFmtId="0" fontId="5" fillId="0" borderId="32" xfId="0" applyFont="1" applyBorder="1" applyAlignment="1">
      <alignment horizontal="center" vertical="center" wrapText="1"/>
    </xf>
    <xf numFmtId="0" fontId="12" fillId="0" borderId="12" xfId="0" applyFont="1" applyBorder="1" applyAlignment="1">
      <alignment horizontal="center"/>
    </xf>
    <xf numFmtId="0" fontId="12" fillId="0" borderId="3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164" fontId="11" fillId="0" borderId="12"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5" fillId="0" borderId="34" xfId="0" applyFont="1" applyBorder="1" applyAlignment="1">
      <alignment horizontal="center"/>
    </xf>
    <xf numFmtId="0" fontId="5" fillId="0" borderId="2" xfId="0" applyFont="1" applyBorder="1" applyAlignment="1">
      <alignment horizontal="center"/>
    </xf>
    <xf numFmtId="0" fontId="5" fillId="0" borderId="28" xfId="0" applyFont="1" applyBorder="1" applyAlignment="1">
      <alignment horizontal="center"/>
    </xf>
    <xf numFmtId="0" fontId="5" fillId="0" borderId="29" xfId="0" applyFont="1" applyBorder="1" applyAlignment="1">
      <alignment horizontal="center" vertical="center" wrapText="1"/>
    </xf>
    <xf numFmtId="0" fontId="5" fillId="0" borderId="50" xfId="0" applyFont="1" applyBorder="1" applyAlignment="1">
      <alignment horizontal="center" vertical="center"/>
    </xf>
    <xf numFmtId="0" fontId="5" fillId="0" borderId="46" xfId="0" applyFont="1" applyBorder="1" applyAlignment="1">
      <alignment horizontal="left" vertical="center" wrapText="1"/>
    </xf>
    <xf numFmtId="0" fontId="5" fillId="0" borderId="48" xfId="0" applyFont="1" applyBorder="1" applyAlignment="1">
      <alignment horizontal="center" vertical="center"/>
    </xf>
    <xf numFmtId="0" fontId="5" fillId="0" borderId="21" xfId="0" applyFont="1" applyBorder="1" applyAlignment="1">
      <alignment horizontal="center"/>
    </xf>
    <xf numFmtId="0" fontId="5" fillId="0" borderId="22" xfId="0" applyFont="1" applyBorder="1" applyAlignment="1">
      <alignment horizontal="center" vertical="center" wrapText="1"/>
    </xf>
    <xf numFmtId="0" fontId="5" fillId="0" borderId="37" xfId="0" applyFont="1" applyBorder="1" applyAlignment="1">
      <alignment horizontal="center"/>
    </xf>
    <xf numFmtId="0" fontId="5" fillId="0" borderId="39" xfId="0" applyFont="1" applyBorder="1" applyAlignment="1">
      <alignment horizontal="center"/>
    </xf>
    <xf numFmtId="0" fontId="5" fillId="0" borderId="36" xfId="0" applyFont="1" applyBorder="1" applyAlignment="1">
      <alignment horizontal="center"/>
    </xf>
    <xf numFmtId="0" fontId="5" fillId="0" borderId="40"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5" fillId="0" borderId="52" xfId="0" applyFont="1" applyBorder="1" applyAlignment="1">
      <alignment horizontal="left" vertical="center" wrapText="1"/>
    </xf>
    <xf numFmtId="0" fontId="12" fillId="0" borderId="53"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50" xfId="0" applyFont="1" applyBorder="1" applyAlignment="1">
      <alignment horizontal="center" vertical="center" wrapText="1"/>
    </xf>
    <xf numFmtId="0" fontId="12" fillId="0" borderId="49" xfId="0" applyFont="1" applyBorder="1" applyAlignment="1">
      <alignment horizontal="center" vertical="center" wrapText="1"/>
    </xf>
    <xf numFmtId="0" fontId="5" fillId="0" borderId="54" xfId="0" applyFont="1" applyBorder="1" applyAlignment="1">
      <alignment horizontal="center"/>
    </xf>
    <xf numFmtId="0" fontId="5" fillId="0" borderId="55" xfId="0" applyFont="1" applyBorder="1" applyAlignment="1">
      <alignment horizontal="center" vertical="center" wrapText="1"/>
    </xf>
    <xf numFmtId="0" fontId="5" fillId="0" borderId="58" xfId="0" applyFont="1" applyBorder="1" applyAlignment="1">
      <alignment horizontal="center"/>
    </xf>
    <xf numFmtId="0" fontId="5" fillId="0" borderId="59" xfId="0" applyFont="1" applyBorder="1" applyAlignment="1">
      <alignment horizontal="center" vertical="center" wrapText="1"/>
    </xf>
    <xf numFmtId="0" fontId="12" fillId="0" borderId="54" xfId="0" applyFont="1" applyBorder="1" applyAlignment="1">
      <alignment horizontal="center"/>
    </xf>
    <xf numFmtId="0" fontId="12" fillId="0" borderId="59" xfId="0" applyFont="1" applyBorder="1" applyAlignment="1">
      <alignment horizontal="center" vertical="center" wrapText="1"/>
    </xf>
    <xf numFmtId="0" fontId="12" fillId="0" borderId="58" xfId="0" applyFont="1" applyBorder="1" applyAlignment="1">
      <alignment horizontal="center" vertical="center" wrapText="1"/>
    </xf>
    <xf numFmtId="0" fontId="12" fillId="0" borderId="61" xfId="0" applyFont="1" applyBorder="1" applyAlignment="1">
      <alignment horizontal="center" vertical="center" wrapText="1"/>
    </xf>
    <xf numFmtId="164" fontId="11" fillId="0" borderId="18" xfId="0" applyNumberFormat="1" applyFont="1" applyBorder="1" applyAlignment="1">
      <alignment horizontal="center" vertical="center" wrapText="1"/>
    </xf>
    <xf numFmtId="164" fontId="11" fillId="0" borderId="19" xfId="0" applyNumberFormat="1" applyFont="1" applyBorder="1" applyAlignment="1">
      <alignment horizontal="center" vertical="center" wrapText="1"/>
    </xf>
    <xf numFmtId="0" fontId="11" fillId="0" borderId="43" xfId="0" applyFont="1" applyBorder="1" applyAlignment="1">
      <alignment horizontal="center" vertical="center" wrapText="1"/>
    </xf>
    <xf numFmtId="0" fontId="11" fillId="0" borderId="44" xfId="0" applyFont="1" applyBorder="1" applyAlignment="1">
      <alignment horizontal="center" vertical="center" wrapText="1"/>
    </xf>
    <xf numFmtId="0" fontId="5" fillId="0" borderId="45" xfId="0" applyFont="1" applyBorder="1" applyAlignment="1">
      <alignment horizontal="center" vertical="center"/>
    </xf>
    <xf numFmtId="0" fontId="5" fillId="0" borderId="46" xfId="0" applyFont="1" applyBorder="1" applyAlignment="1">
      <alignment horizontal="center" vertical="center"/>
    </xf>
    <xf numFmtId="0" fontId="5" fillId="0" borderId="49" xfId="0" applyFont="1" applyBorder="1" applyAlignment="1">
      <alignment horizontal="left" vertical="center" wrapText="1"/>
    </xf>
    <xf numFmtId="0" fontId="5" fillId="0" borderId="45"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66" xfId="0" applyFont="1" applyBorder="1" applyAlignment="1">
      <alignment horizontal="center" vertical="center"/>
    </xf>
    <xf numFmtId="0" fontId="5" fillId="0" borderId="17"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6" xfId="0" applyFont="1" applyBorder="1" applyAlignment="1">
      <alignment horizontal="center" vertical="center" wrapText="1"/>
    </xf>
    <xf numFmtId="0" fontId="7" fillId="0" borderId="0" xfId="0" applyFont="1" applyAlignment="1">
      <alignment horizontal="left" vertical="center" wrapText="1"/>
    </xf>
    <xf numFmtId="0" fontId="10" fillId="0" borderId="36" xfId="0" applyFont="1" applyBorder="1" applyAlignment="1">
      <alignment horizontal="left" vertical="center" wrapText="1"/>
    </xf>
    <xf numFmtId="0" fontId="10" fillId="0" borderId="39" xfId="0" applyFont="1" applyBorder="1" applyAlignment="1">
      <alignment horizontal="left" vertical="center" wrapText="1"/>
    </xf>
    <xf numFmtId="0" fontId="10" fillId="0" borderId="22" xfId="0" applyFont="1" applyBorder="1" applyAlignment="1">
      <alignment horizontal="left" vertical="center" wrapText="1"/>
    </xf>
    <xf numFmtId="0" fontId="10" fillId="0" borderId="6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68" xfId="0" applyFont="1" applyBorder="1" applyAlignment="1">
      <alignment horizontal="center" vertical="center" wrapText="1"/>
    </xf>
    <xf numFmtId="0" fontId="4" fillId="0" borderId="0" xfId="0" applyFont="1" applyAlignment="1">
      <alignment horizontal="left" vertical="top" wrapText="1"/>
    </xf>
    <xf numFmtId="0" fontId="13" fillId="0" borderId="69" xfId="0" applyFont="1" applyBorder="1" applyAlignment="1">
      <alignment horizontal="center" vertical="top" wrapText="1"/>
    </xf>
    <xf numFmtId="0" fontId="13" fillId="0" borderId="0" xfId="0" applyFont="1" applyAlignment="1">
      <alignment horizontal="center" vertical="top" wrapText="1"/>
    </xf>
    <xf numFmtId="0" fontId="13" fillId="0" borderId="70" xfId="0" applyFont="1" applyBorder="1" applyAlignment="1">
      <alignment horizontal="center" vertical="top" wrapText="1"/>
    </xf>
    <xf numFmtId="0" fontId="10" fillId="0" borderId="24" xfId="0" applyFont="1" applyBorder="1" applyAlignment="1">
      <alignment horizontal="center" vertical="center" wrapText="1"/>
    </xf>
    <xf numFmtId="0" fontId="10" fillId="0" borderId="71"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70" xfId="0" applyFont="1" applyBorder="1" applyAlignment="1">
      <alignment horizontal="left" vertical="center" wrapText="1"/>
    </xf>
    <xf numFmtId="0" fontId="4" fillId="0" borderId="54" xfId="0" applyFont="1" applyBorder="1" applyAlignment="1">
      <alignment horizontal="left" vertical="center" wrapText="1"/>
    </xf>
    <xf numFmtId="0" fontId="4" fillId="0" borderId="61" xfId="0" applyFont="1" applyBorder="1" applyAlignment="1">
      <alignment horizontal="left" vertical="center" wrapText="1"/>
    </xf>
    <xf numFmtId="0" fontId="4" fillId="0" borderId="55" xfId="0" applyFont="1" applyBorder="1" applyAlignment="1">
      <alignment horizontal="left" vertical="center" wrapText="1"/>
    </xf>
    <xf numFmtId="0" fontId="11" fillId="2" borderId="36"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58" xfId="0" applyFont="1" applyFill="1" applyBorder="1" applyAlignment="1">
      <alignment horizontal="center" vertical="center" wrapText="1"/>
    </xf>
    <xf numFmtId="0" fontId="11" fillId="2" borderId="59" xfId="0" applyFont="1" applyFill="1" applyBorder="1" applyAlignment="1">
      <alignment horizontal="center" vertical="center" wrapText="1"/>
    </xf>
    <xf numFmtId="0" fontId="10" fillId="0" borderId="69" xfId="0" applyFont="1" applyBorder="1" applyAlignment="1">
      <alignment horizontal="left" vertical="center" wrapText="1"/>
    </xf>
    <xf numFmtId="0" fontId="10" fillId="0" borderId="0" xfId="0" applyFont="1" applyAlignment="1">
      <alignment horizontal="left" vertical="center" wrapText="1"/>
    </xf>
    <xf numFmtId="0" fontId="10" fillId="0" borderId="70" xfId="0" applyFont="1" applyBorder="1" applyAlignment="1">
      <alignment horizontal="left" vertical="center" wrapText="1"/>
    </xf>
    <xf numFmtId="1" fontId="11" fillId="2" borderId="23" xfId="0" applyNumberFormat="1" applyFont="1" applyFill="1" applyBorder="1" applyAlignment="1">
      <alignment horizontal="center" vertical="center" wrapText="1"/>
    </xf>
    <xf numFmtId="1" fontId="11" fillId="2" borderId="56" xfId="0" applyNumberFormat="1"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72" xfId="0" applyFont="1" applyBorder="1" applyAlignment="1">
      <alignment horizontal="right" vertical="center" wrapText="1"/>
    </xf>
    <xf numFmtId="0" fontId="14" fillId="0" borderId="0" xfId="0" applyFont="1" applyAlignment="1">
      <alignment horizontal="left" vertical="center" wrapText="1"/>
    </xf>
    <xf numFmtId="0" fontId="14" fillId="0" borderId="70" xfId="0" applyFont="1" applyBorder="1" applyAlignment="1">
      <alignment horizontal="left" vertical="center" wrapText="1"/>
    </xf>
    <xf numFmtId="0" fontId="11" fillId="2" borderId="69"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4" fillId="0" borderId="0" xfId="0" applyFont="1" applyAlignment="1">
      <alignment horizontal="center" vertical="center" wrapText="1"/>
    </xf>
    <xf numFmtId="0" fontId="4" fillId="0" borderId="61"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62" xfId="0" applyFont="1" applyBorder="1" applyAlignment="1">
      <alignment horizontal="center" vertical="center" wrapText="1"/>
    </xf>
    <xf numFmtId="0" fontId="11" fillId="0" borderId="19" xfId="0" applyFont="1" applyBorder="1" applyAlignment="1">
      <alignment horizontal="center" vertical="center" wrapText="1"/>
    </xf>
    <xf numFmtId="0" fontId="13" fillId="0" borderId="69" xfId="0" applyFont="1" applyBorder="1" applyAlignment="1">
      <alignment horizontal="left" vertical="top" wrapText="1"/>
    </xf>
    <xf numFmtId="0" fontId="13" fillId="0" borderId="0" xfId="0" applyFont="1" applyAlignment="1">
      <alignment horizontal="left" vertical="top" wrapText="1"/>
    </xf>
    <xf numFmtId="0" fontId="13" fillId="0" borderId="70" xfId="0" applyFont="1" applyBorder="1" applyAlignment="1">
      <alignment horizontal="left" vertical="top" wrapText="1"/>
    </xf>
    <xf numFmtId="0" fontId="3" fillId="0" borderId="21" xfId="0" applyFont="1" applyBorder="1" applyAlignment="1">
      <alignment horizontal="center" wrapText="1"/>
    </xf>
    <xf numFmtId="0" fontId="3" fillId="0" borderId="39" xfId="0" applyFont="1" applyBorder="1" applyAlignment="1">
      <alignment horizontal="center" wrapText="1"/>
    </xf>
    <xf numFmtId="0" fontId="3" fillId="0" borderId="22" xfId="0" applyFont="1" applyBorder="1" applyAlignment="1">
      <alignment horizontal="center" wrapText="1"/>
    </xf>
    <xf numFmtId="0" fontId="11" fillId="0" borderId="36"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58" xfId="0" applyFont="1" applyBorder="1" applyAlignment="1">
      <alignment horizontal="center" vertical="center" wrapText="1"/>
    </xf>
    <xf numFmtId="0" fontId="11" fillId="0" borderId="59" xfId="0" applyFont="1" applyBorder="1" applyAlignment="1">
      <alignment horizontal="center" vertical="center" wrapText="1"/>
    </xf>
    <xf numFmtId="0" fontId="14" fillId="0" borderId="54" xfId="0" applyFont="1" applyBorder="1" applyAlignment="1">
      <alignment horizontal="center" vertical="top" wrapText="1"/>
    </xf>
    <xf numFmtId="0" fontId="14" fillId="0" borderId="61" xfId="0" applyFont="1" applyBorder="1" applyAlignment="1">
      <alignment horizontal="center" vertical="top" wrapText="1"/>
    </xf>
    <xf numFmtId="0" fontId="14" fillId="0" borderId="55" xfId="0" applyFont="1" applyBorder="1" applyAlignment="1">
      <alignment horizontal="center" vertical="top" wrapText="1"/>
    </xf>
    <xf numFmtId="0" fontId="11" fillId="0" borderId="23" xfId="0" applyFont="1" applyBorder="1" applyAlignment="1">
      <alignment horizontal="center" vertical="center" wrapText="1"/>
    </xf>
    <xf numFmtId="0" fontId="11" fillId="0" borderId="56" xfId="0" applyFont="1" applyBorder="1" applyAlignment="1">
      <alignment horizontal="center" vertical="center" wrapText="1"/>
    </xf>
    <xf numFmtId="0" fontId="4" fillId="0" borderId="0" xfId="0" applyFont="1" applyAlignment="1">
      <alignment horizontal="justify" vertical="top" wrapText="1"/>
    </xf>
    <xf numFmtId="0" fontId="3" fillId="0" borderId="54"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55"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32"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54" xfId="0" applyFont="1" applyBorder="1" applyAlignment="1">
      <alignment horizontal="center" vertical="center" wrapText="1"/>
    </xf>
    <xf numFmtId="0" fontId="10" fillId="0" borderId="61" xfId="0" applyFont="1" applyBorder="1" applyAlignment="1">
      <alignment horizontal="center" vertical="center" wrapText="1"/>
    </xf>
    <xf numFmtId="0" fontId="10" fillId="0" borderId="55" xfId="0" applyFont="1" applyBorder="1" applyAlignment="1">
      <alignment horizontal="center" vertical="center" wrapText="1"/>
    </xf>
    <xf numFmtId="0" fontId="4" fillId="0" borderId="74" xfId="0" applyFont="1" applyBorder="1" applyAlignment="1">
      <alignment horizontal="left" vertical="center" wrapText="1"/>
    </xf>
    <xf numFmtId="0" fontId="4" fillId="0" borderId="75" xfId="0" applyFont="1" applyBorder="1" applyAlignment="1">
      <alignment horizontal="left" vertical="center" wrapText="1"/>
    </xf>
    <xf numFmtId="0" fontId="4" fillId="0" borderId="76" xfId="0" applyFont="1" applyBorder="1" applyAlignment="1">
      <alignment horizontal="left" vertical="center" wrapText="1"/>
    </xf>
    <xf numFmtId="0" fontId="4" fillId="0" borderId="77" xfId="0" applyFont="1" applyBorder="1" applyAlignment="1">
      <alignment horizontal="left" vertical="center" wrapText="1"/>
    </xf>
    <xf numFmtId="0" fontId="4" fillId="0" borderId="72" xfId="0" applyFont="1" applyBorder="1" applyAlignment="1">
      <alignment horizontal="left" vertical="center" wrapText="1"/>
    </xf>
    <xf numFmtId="0" fontId="4" fillId="0" borderId="78" xfId="0" applyFont="1" applyBorder="1" applyAlignment="1">
      <alignment horizontal="left" vertical="center" wrapText="1"/>
    </xf>
    <xf numFmtId="0" fontId="4" fillId="0" borderId="79" xfId="0" applyFont="1" applyBorder="1" applyAlignment="1">
      <alignment horizontal="left" vertical="center" wrapText="1"/>
    </xf>
    <xf numFmtId="0" fontId="4" fillId="0" borderId="80" xfId="0" applyFont="1" applyBorder="1" applyAlignment="1">
      <alignment horizontal="left" vertical="center" wrapText="1"/>
    </xf>
    <xf numFmtId="0" fontId="10" fillId="0" borderId="0" xfId="0" applyFont="1" applyAlignment="1">
      <alignment horizontal="center" vertical="center" wrapText="1"/>
    </xf>
    <xf numFmtId="0" fontId="10" fillId="0" borderId="70" xfId="0" applyFont="1" applyBorder="1" applyAlignment="1">
      <alignment horizontal="center" vertical="center" wrapText="1"/>
    </xf>
    <xf numFmtId="0" fontId="10" fillId="0" borderId="63" xfId="0" applyFont="1" applyBorder="1" applyAlignment="1">
      <alignment horizontal="center" vertical="center" wrapText="1"/>
    </xf>
    <xf numFmtId="0" fontId="11" fillId="0" borderId="6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64" xfId="0" applyFont="1" applyBorder="1" applyAlignment="1">
      <alignment horizontal="center" vertical="center" wrapText="1"/>
    </xf>
    <xf numFmtId="0" fontId="16" fillId="0" borderId="16" xfId="0" applyFont="1" applyBorder="1" applyAlignment="1">
      <alignment horizontal="center" wrapText="1"/>
    </xf>
    <xf numFmtId="0" fontId="11" fillId="0" borderId="6" xfId="0" applyFont="1" applyBorder="1" applyAlignment="1">
      <alignment horizontal="center" vertical="top" wrapText="1"/>
    </xf>
    <xf numFmtId="0" fontId="4" fillId="0" borderId="0" xfId="0" applyFont="1" applyAlignment="1">
      <alignment horizontal="center" vertical="top"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7" fillId="0" borderId="15" xfId="0" applyFont="1" applyBorder="1" applyAlignment="1">
      <alignment horizontal="center" wrapText="1"/>
    </xf>
    <xf numFmtId="0" fontId="7" fillId="0" borderId="17" xfId="0" applyFont="1" applyBorder="1" applyAlignment="1">
      <alignment horizontal="center" wrapText="1"/>
    </xf>
    <xf numFmtId="0" fontId="4" fillId="0" borderId="4" xfId="0" applyFont="1" applyBorder="1" applyAlignment="1">
      <alignment horizontal="center" wrapText="1"/>
    </xf>
    <xf numFmtId="0" fontId="4" fillId="0" borderId="6" xfId="0" applyFont="1" applyBorder="1" applyAlignment="1">
      <alignment horizontal="center" wrapText="1"/>
    </xf>
    <xf numFmtId="0" fontId="4" fillId="0" borderId="5" xfId="0" applyFont="1" applyBorder="1" applyAlignment="1">
      <alignment horizontal="center" wrapText="1"/>
    </xf>
    <xf numFmtId="0" fontId="7" fillId="0" borderId="16" xfId="0" applyFont="1" applyBorder="1" applyAlignment="1">
      <alignment horizontal="center" wrapText="1"/>
    </xf>
    <xf numFmtId="0" fontId="15" fillId="0" borderId="0" xfId="0" applyFont="1" applyAlignment="1">
      <alignment horizontal="left" vertical="center" wrapText="1"/>
    </xf>
    <xf numFmtId="0" fontId="16" fillId="0" borderId="0" xfId="0" applyFont="1" applyAlignment="1">
      <alignment horizontal="center" wrapText="1"/>
    </xf>
    <xf numFmtId="0" fontId="10" fillId="0" borderId="69" xfId="0" applyFont="1" applyBorder="1" applyAlignment="1">
      <alignment horizontal="left" vertical="top" wrapText="1"/>
    </xf>
    <xf numFmtId="0" fontId="10" fillId="0" borderId="0" xfId="0" applyFont="1" applyAlignment="1">
      <alignment horizontal="left" vertical="top" wrapText="1"/>
    </xf>
    <xf numFmtId="0" fontId="10" fillId="0" borderId="70" xfId="0" applyFont="1" applyBorder="1" applyAlignment="1">
      <alignment horizontal="left" vertical="top" wrapText="1"/>
    </xf>
    <xf numFmtId="0" fontId="10" fillId="0" borderId="58" xfId="0" applyFont="1" applyBorder="1" applyAlignment="1">
      <alignment horizontal="left" vertical="top" wrapText="1"/>
    </xf>
    <xf numFmtId="0" fontId="10" fillId="0" borderId="61" xfId="0" applyFont="1" applyBorder="1" applyAlignment="1">
      <alignment horizontal="left" vertical="top" wrapText="1"/>
    </xf>
    <xf numFmtId="0" fontId="10" fillId="0" borderId="55" xfId="0" applyFont="1" applyBorder="1" applyAlignment="1">
      <alignment horizontal="left" vertical="top"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70" xfId="0" applyFont="1" applyBorder="1" applyAlignment="1">
      <alignment horizontal="center" vertical="center" wrapText="1"/>
    </xf>
    <xf numFmtId="0" fontId="11" fillId="2" borderId="23" xfId="0" applyFont="1" applyFill="1" applyBorder="1" applyAlignment="1">
      <alignment horizontal="center" vertical="center" wrapText="1"/>
    </xf>
    <xf numFmtId="0" fontId="11" fillId="2" borderId="73" xfId="0" applyFont="1" applyFill="1" applyBorder="1" applyAlignment="1">
      <alignment horizontal="center" vertical="center" wrapText="1"/>
    </xf>
    <xf numFmtId="0" fontId="11" fillId="2" borderId="5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85"/>
  <sheetViews>
    <sheetView tabSelected="1" zoomScale="105" zoomScaleNormal="85" workbookViewId="0">
      <selection activeCell="AV68" sqref="AV68"/>
    </sheetView>
  </sheetViews>
  <sheetFormatPr defaultRowHeight="12.5" customHeight="1"/>
  <cols>
    <col min="1" max="1" width="1.6328125" style="1" customWidth="1"/>
    <col min="2" max="2" width="1.36328125" style="1" customWidth="1"/>
    <col min="3" max="3" width="14.08984375" style="1" customWidth="1"/>
    <col min="4" max="4" width="8.7265625" style="1" customWidth="1"/>
    <col min="5" max="5" width="0.1796875" style="1" customWidth="1"/>
    <col min="6" max="6" width="0.81640625" style="1" customWidth="1"/>
    <col min="7" max="7" width="2" style="1" customWidth="1"/>
    <col min="8" max="11" width="2.81640625" style="1" customWidth="1"/>
    <col min="12" max="12" width="2.54296875" style="1" customWidth="1"/>
    <col min="13" max="13" width="0.36328125" style="1" customWidth="1"/>
    <col min="14" max="17" width="2.81640625" style="1" customWidth="1"/>
    <col min="18" max="18" width="0.81640625" style="1" customWidth="1"/>
    <col min="19" max="19" width="2" style="1" customWidth="1"/>
    <col min="20" max="21" width="2.81640625" style="1" customWidth="1"/>
    <col min="22" max="22" width="0.6328125" style="1" customWidth="1"/>
    <col min="23" max="23" width="2.1796875" style="1" customWidth="1"/>
    <col min="24" max="24" width="1.1796875" style="1" customWidth="1"/>
    <col min="25" max="26" width="1.6328125" style="1" customWidth="1"/>
    <col min="27" max="27" width="1.1796875" style="1" customWidth="1"/>
    <col min="28" max="32" width="2.81640625" style="1" customWidth="1"/>
    <col min="33" max="33" width="2.7265625" style="1" customWidth="1"/>
    <col min="34" max="34" width="0.1796875" style="1" customWidth="1"/>
    <col min="35" max="36" width="2.81640625" style="1" customWidth="1"/>
    <col min="37" max="37" width="1.1796875" style="1" customWidth="1"/>
    <col min="38" max="39" width="1.6328125" style="1" customWidth="1"/>
    <col min="40" max="41" width="5" style="1" customWidth="1"/>
    <col min="42" max="42" width="1.6328125" style="1" customWidth="1"/>
    <col min="43" max="43" width="11.26953125" style="1" customWidth="1"/>
    <col min="44" max="44" width="5" style="1" customWidth="1"/>
    <col min="45" max="45" width="4.90625" style="1" customWidth="1"/>
    <col min="46" max="46" width="6.7265625" style="1" customWidth="1"/>
    <col min="47" max="47" width="0.36328125" style="1" customWidth="1"/>
    <col min="48" max="48" width="8.7265625" style="1" customWidth="1"/>
    <col min="49" max="16384" width="8.7265625" style="1"/>
  </cols>
  <sheetData>
    <row r="1" spans="1:47" ht="30" customHeight="1">
      <c r="A1" s="32"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row>
    <row r="2" spans="1:47" ht="20" customHeight="1">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row>
    <row r="3" spans="1:47" ht="20" customHeight="1">
      <c r="A3" s="35" t="s">
        <v>2</v>
      </c>
      <c r="B3" s="33"/>
      <c r="C3" s="33"/>
      <c r="D3" s="33"/>
      <c r="E3" s="2"/>
      <c r="F3" s="36"/>
      <c r="G3" s="37"/>
      <c r="H3" s="37"/>
      <c r="I3" s="38"/>
      <c r="J3" s="35" t="s">
        <v>3</v>
      </c>
      <c r="K3" s="33"/>
      <c r="L3" s="33"/>
      <c r="M3" s="36"/>
      <c r="N3" s="37"/>
      <c r="O3" s="37"/>
      <c r="P3" s="37"/>
      <c r="Q3" s="37"/>
      <c r="R3" s="38"/>
      <c r="S3" s="35" t="s">
        <v>4</v>
      </c>
      <c r="T3" s="33"/>
      <c r="U3" s="33"/>
      <c r="V3" s="33"/>
      <c r="W3" s="33"/>
      <c r="X3" s="33"/>
      <c r="Y3" s="33"/>
      <c r="Z3" s="33"/>
      <c r="AA3" s="36"/>
      <c r="AB3" s="37"/>
      <c r="AC3" s="37"/>
      <c r="AD3" s="37"/>
      <c r="AE3" s="37"/>
      <c r="AF3" s="37"/>
      <c r="AG3" s="38"/>
      <c r="AH3" s="2"/>
      <c r="AI3" s="2"/>
      <c r="AJ3" s="2"/>
      <c r="AK3" s="2"/>
      <c r="AL3" s="2"/>
      <c r="AM3" s="2"/>
      <c r="AN3" s="2"/>
      <c r="AO3" s="2"/>
      <c r="AP3" s="2"/>
      <c r="AQ3" s="2"/>
      <c r="AR3" s="2"/>
      <c r="AS3" s="2"/>
      <c r="AT3" s="2"/>
      <c r="AU3" s="2"/>
    </row>
    <row r="4" spans="1:47" ht="20" customHeight="1">
      <c r="A4" s="35" t="s">
        <v>5</v>
      </c>
      <c r="B4" s="33"/>
      <c r="C4" s="33"/>
      <c r="D4" s="33"/>
      <c r="E4" s="2"/>
      <c r="F4" s="36"/>
      <c r="G4" s="37"/>
      <c r="H4" s="37"/>
      <c r="I4" s="37"/>
      <c r="J4" s="37"/>
      <c r="K4" s="37"/>
      <c r="L4" s="37"/>
      <c r="M4" s="37"/>
      <c r="N4" s="37"/>
      <c r="O4" s="37"/>
      <c r="P4" s="37"/>
      <c r="Q4" s="37"/>
      <c r="R4" s="38"/>
      <c r="S4" s="35" t="s">
        <v>6</v>
      </c>
      <c r="T4" s="33"/>
      <c r="U4" s="33"/>
      <c r="V4" s="33"/>
      <c r="W4" s="33"/>
      <c r="X4" s="33"/>
      <c r="Y4" s="33"/>
      <c r="Z4" s="33"/>
      <c r="AA4" s="36"/>
      <c r="AB4" s="37"/>
      <c r="AC4" s="37"/>
      <c r="AD4" s="37"/>
      <c r="AE4" s="37"/>
      <c r="AF4" s="37"/>
      <c r="AG4" s="38"/>
      <c r="AH4" s="2"/>
      <c r="AI4" s="35" t="s">
        <v>7</v>
      </c>
      <c r="AJ4" s="33"/>
      <c r="AK4" s="33"/>
      <c r="AL4" s="33"/>
      <c r="AM4" s="36"/>
      <c r="AN4" s="37"/>
      <c r="AO4" s="37"/>
      <c r="AP4" s="37"/>
      <c r="AQ4" s="37"/>
      <c r="AR4" s="37"/>
      <c r="AS4" s="37"/>
      <c r="AT4" s="37"/>
      <c r="AU4" s="38"/>
    </row>
    <row r="5" spans="1:47" ht="10" customHeight="1">
      <c r="A5" s="42" t="s">
        <v>8</v>
      </c>
      <c r="B5" s="43"/>
      <c r="C5" s="42" t="s">
        <v>9</v>
      </c>
      <c r="D5" s="48"/>
      <c r="E5" s="43"/>
      <c r="F5" s="50" t="s">
        <v>72</v>
      </c>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2"/>
      <c r="AM5" s="53" t="s">
        <v>11</v>
      </c>
      <c r="AN5" s="54"/>
      <c r="AO5" s="54"/>
      <c r="AP5" s="55"/>
      <c r="AQ5" s="59" t="s">
        <v>12</v>
      </c>
      <c r="AR5" s="60"/>
      <c r="AS5" s="60"/>
      <c r="AT5" s="60"/>
      <c r="AU5" s="61"/>
    </row>
    <row r="6" spans="1:47" ht="15" customHeight="1">
      <c r="A6" s="44"/>
      <c r="B6" s="45"/>
      <c r="C6" s="44"/>
      <c r="D6" s="33"/>
      <c r="E6" s="45"/>
      <c r="F6" s="67"/>
      <c r="G6" s="68"/>
      <c r="H6" s="3"/>
      <c r="I6" s="3"/>
      <c r="J6" s="3"/>
      <c r="K6" s="3"/>
      <c r="L6" s="67"/>
      <c r="M6" s="68"/>
      <c r="N6" s="3"/>
      <c r="O6" s="3"/>
      <c r="P6" s="3"/>
      <c r="Q6" s="3"/>
      <c r="R6" s="67"/>
      <c r="S6" s="68"/>
      <c r="T6" s="3"/>
      <c r="U6" s="3"/>
      <c r="V6" s="69"/>
      <c r="W6" s="68"/>
      <c r="X6" s="69"/>
      <c r="Y6" s="68"/>
      <c r="Z6" s="67"/>
      <c r="AA6" s="68"/>
      <c r="AB6" s="3"/>
      <c r="AC6" s="3"/>
      <c r="AD6" s="3"/>
      <c r="AE6" s="3"/>
      <c r="AF6" s="4"/>
      <c r="AG6" s="69"/>
      <c r="AH6" s="68"/>
      <c r="AI6" s="3"/>
      <c r="AJ6" s="3"/>
      <c r="AK6" s="69"/>
      <c r="AL6" s="68"/>
      <c r="AM6" s="56"/>
      <c r="AN6" s="57"/>
      <c r="AO6" s="57"/>
      <c r="AP6" s="58"/>
      <c r="AQ6" s="62"/>
      <c r="AR6" s="33"/>
      <c r="AS6" s="33"/>
      <c r="AT6" s="33"/>
      <c r="AU6" s="63"/>
    </row>
    <row r="7" spans="1:47" ht="15" customHeight="1">
      <c r="A7" s="46"/>
      <c r="B7" s="47"/>
      <c r="C7" s="46"/>
      <c r="D7" s="49"/>
      <c r="E7" s="47"/>
      <c r="F7" s="70" t="s">
        <v>13</v>
      </c>
      <c r="G7" s="71"/>
      <c r="H7" s="5" t="s">
        <v>10</v>
      </c>
      <c r="I7" s="5" t="s">
        <v>14</v>
      </c>
      <c r="J7" s="5" t="s">
        <v>15</v>
      </c>
      <c r="K7" s="5" t="s">
        <v>10</v>
      </c>
      <c r="L7" s="72" t="s">
        <v>13</v>
      </c>
      <c r="M7" s="73"/>
      <c r="N7" s="6" t="s">
        <v>16</v>
      </c>
      <c r="O7" s="6" t="s">
        <v>14</v>
      </c>
      <c r="P7" s="6" t="s">
        <v>15</v>
      </c>
      <c r="Q7" s="6" t="s">
        <v>10</v>
      </c>
      <c r="R7" s="70" t="s">
        <v>13</v>
      </c>
      <c r="S7" s="71"/>
      <c r="T7" s="5" t="s">
        <v>16</v>
      </c>
      <c r="U7" s="5" t="s">
        <v>14</v>
      </c>
      <c r="V7" s="74" t="s">
        <v>15</v>
      </c>
      <c r="W7" s="71"/>
      <c r="X7" s="74" t="s">
        <v>10</v>
      </c>
      <c r="Y7" s="71"/>
      <c r="Z7" s="70" t="s">
        <v>13</v>
      </c>
      <c r="AA7" s="71"/>
      <c r="AB7" s="5" t="s">
        <v>16</v>
      </c>
      <c r="AC7" s="5" t="s">
        <v>14</v>
      </c>
      <c r="AD7" s="5" t="s">
        <v>15</v>
      </c>
      <c r="AE7" s="5" t="s">
        <v>10</v>
      </c>
      <c r="AF7" s="7" t="s">
        <v>13</v>
      </c>
      <c r="AG7" s="74" t="s">
        <v>16</v>
      </c>
      <c r="AH7" s="71"/>
      <c r="AI7" s="5" t="s">
        <v>14</v>
      </c>
      <c r="AJ7" s="5" t="s">
        <v>15</v>
      </c>
      <c r="AK7" s="74" t="s">
        <v>10</v>
      </c>
      <c r="AL7" s="71"/>
      <c r="AM7" s="30" t="s">
        <v>17</v>
      </c>
      <c r="AN7" s="31"/>
      <c r="AO7" s="30" t="s">
        <v>18</v>
      </c>
      <c r="AP7" s="31"/>
      <c r="AQ7" s="64"/>
      <c r="AR7" s="65"/>
      <c r="AS7" s="65"/>
      <c r="AT7" s="65"/>
      <c r="AU7" s="66"/>
    </row>
    <row r="8" spans="1:47" ht="20" customHeight="1">
      <c r="A8" s="80">
        <v>1</v>
      </c>
      <c r="B8" s="81"/>
      <c r="C8" s="82"/>
      <c r="D8" s="83"/>
      <c r="E8" s="84"/>
      <c r="F8" s="39"/>
      <c r="G8" s="40"/>
      <c r="H8" s="8"/>
      <c r="I8" s="8"/>
      <c r="J8" s="8"/>
      <c r="K8" s="9"/>
      <c r="L8" s="87"/>
      <c r="M8" s="88"/>
      <c r="N8" s="10"/>
      <c r="O8" s="10"/>
      <c r="P8" s="10"/>
      <c r="Q8" s="11"/>
      <c r="R8" s="86"/>
      <c r="S8" s="40"/>
      <c r="T8" s="8"/>
      <c r="U8" s="8"/>
      <c r="V8" s="41"/>
      <c r="W8" s="40"/>
      <c r="X8" s="41"/>
      <c r="Y8" s="75"/>
      <c r="Z8" s="39"/>
      <c r="AA8" s="40"/>
      <c r="AB8" s="8"/>
      <c r="AC8" s="8"/>
      <c r="AD8" s="8"/>
      <c r="AE8" s="12"/>
      <c r="AF8" s="13"/>
      <c r="AG8" s="41"/>
      <c r="AH8" s="40"/>
      <c r="AI8" s="8"/>
      <c r="AJ8" s="8"/>
      <c r="AK8" s="41"/>
      <c r="AL8" s="75"/>
      <c r="AM8" s="76">
        <f t="array" ref="AM8">SUM(COUNTIFS(F8, {"X","/\"}, F$6, "&lt;&gt;"), COUNTIFS(H8:L8, {"X","/\"}, H$6:L$6, "&lt;&gt;"), COUNTIFS(N8:R8, {"X","/\"}, N$6:R$6, "&lt;&gt;"), COUNTIFS(T8:V8, {"X","/\"}, T$6:V$6, "&lt;&gt;"), COUNTIFS(X8, {"X","/\"}, X$6, "&lt;&gt;"), COUNTIFS(Z8, {"X","/\"}, Z$6, "&lt;&gt;"), COUNTIFS(AB8:AG8, {"X","/\"}, AB$6:AG$6, "&lt;&gt;"), COUNTIFS(AI8:AK8, {"X","/\"}, AI$6:AK$6, "&lt;&gt;"))</f>
        <v>0</v>
      </c>
      <c r="AN8" s="77"/>
      <c r="AO8" s="76">
        <f t="array" ref="AO8">SUM(COUNTIFS(F8, {"","/","\"}, F$6, "&lt;&gt;"), COUNTIFS(H8:L8, {"","/","\"}, H$6:L$6, "&lt;&gt;"), COUNTIFS(N8:R8, {"","/","\"}, N$6:R$6, "&lt;&gt;"), COUNTIFS(T8:V8, {"","/","\"}, T$6:V$6, "&lt;&gt;"), COUNTIFS(X8, {"","/","\"}, X$6, "&lt;&gt;"), COUNTIFS(Z8, {"","/","\"}, Z$6, "&lt;&gt;"), COUNTIFS(AB8:AG8, {"","/","\"}, AB$6:AG$6, "&lt;&gt;"), COUNTIFS(AI8:AK8, {"","/","\"}, AI$6:AK$6, "&lt;&gt;"))</f>
        <v>0</v>
      </c>
      <c r="AP8" s="77"/>
      <c r="AQ8" s="78" t="s">
        <v>19</v>
      </c>
      <c r="AR8" s="79"/>
      <c r="AS8" s="79"/>
      <c r="AT8" s="79"/>
      <c r="AU8" s="77"/>
    </row>
    <row r="9" spans="1:47" ht="20" customHeight="1">
      <c r="A9" s="80">
        <v>2</v>
      </c>
      <c r="B9" s="81"/>
      <c r="C9" s="82"/>
      <c r="D9" s="83"/>
      <c r="E9" s="84"/>
      <c r="F9" s="39"/>
      <c r="G9" s="40"/>
      <c r="H9" s="8"/>
      <c r="I9" s="8"/>
      <c r="J9" s="8"/>
      <c r="K9" s="9"/>
      <c r="L9" s="85"/>
      <c r="M9" s="40"/>
      <c r="N9" s="8"/>
      <c r="O9" s="8"/>
      <c r="P9" s="8"/>
      <c r="Q9" s="14"/>
      <c r="R9" s="86"/>
      <c r="S9" s="40"/>
      <c r="T9" s="8"/>
      <c r="U9" s="8"/>
      <c r="V9" s="41"/>
      <c r="W9" s="40"/>
      <c r="X9" s="41"/>
      <c r="Y9" s="75"/>
      <c r="Z9" s="39"/>
      <c r="AA9" s="40"/>
      <c r="AB9" s="8"/>
      <c r="AC9" s="8"/>
      <c r="AD9" s="8"/>
      <c r="AE9" s="12"/>
      <c r="AF9" s="13"/>
      <c r="AG9" s="41"/>
      <c r="AH9" s="40"/>
      <c r="AI9" s="8"/>
      <c r="AJ9" s="8"/>
      <c r="AK9" s="41"/>
      <c r="AL9" s="75"/>
      <c r="AM9" s="76">
        <f t="array" ref="AM9">SUM(COUNTIFS(F9, {"X","/\"}, F$6, "&lt;&gt;"), COUNTIFS(H9:L9, {"X","/\"}, H$6:L$6, "&lt;&gt;"), COUNTIFS(N9:R9, {"X","/\"}, N$6:R$6, "&lt;&gt;"), COUNTIFS(T9:V9, {"X","/\"}, T$6:V$6, "&lt;&gt;"), COUNTIFS(X9, {"X","/\"}, X$6, "&lt;&gt;"), COUNTIFS(Z9, {"X","/\"}, Z$6, "&lt;&gt;"), COUNTIFS(AB9:AG9, {"X","/\"}, AB$6:AG$6, "&lt;&gt;"), COUNTIFS(AI9:AK9, {"X","/\"}, AI$6:AK$6, "&lt;&gt;"))</f>
        <v>0</v>
      </c>
      <c r="AN9" s="77"/>
      <c r="AO9" s="76">
        <f t="array" ref="AO9">SUM(COUNTIFS(F9, {"","/","\"}, F$6, "&lt;&gt;"), COUNTIFS(H9:L9, {"","/","\"}, H$6:L$6, "&lt;&gt;"), COUNTIFS(N9:R9, {"","/","\"}, N$6:R$6, "&lt;&gt;"), COUNTIFS(T9:V9, {"","/","\"}, T$6:V$6, "&lt;&gt;"), COUNTIFS(X9, {"","/","\"}, X$6, "&lt;&gt;"), COUNTIFS(Z9, {"","/","\"}, Z$6, "&lt;&gt;"), COUNTIFS(AB9:AG9, {"","/","\"}, AB$6:AG$6, "&lt;&gt;"), COUNTIFS(AI9:AK9, {"","/","\"}, AI$6:AK$6, "&lt;&gt;"))</f>
        <v>0</v>
      </c>
      <c r="AP9" s="77"/>
      <c r="AQ9" s="78" t="s">
        <v>19</v>
      </c>
      <c r="AR9" s="79"/>
      <c r="AS9" s="79"/>
      <c r="AT9" s="79"/>
      <c r="AU9" s="77"/>
    </row>
    <row r="10" spans="1:47" ht="20" customHeight="1">
      <c r="A10" s="80">
        <v>3</v>
      </c>
      <c r="B10" s="81"/>
      <c r="C10" s="82"/>
      <c r="D10" s="83"/>
      <c r="E10" s="84"/>
      <c r="F10" s="39"/>
      <c r="G10" s="40"/>
      <c r="H10" s="8"/>
      <c r="I10" s="8"/>
      <c r="J10" s="8"/>
      <c r="K10" s="9"/>
      <c r="L10" s="85"/>
      <c r="M10" s="40"/>
      <c r="N10" s="8"/>
      <c r="O10" s="8"/>
      <c r="P10" s="8"/>
      <c r="Q10" s="14"/>
      <c r="R10" s="86"/>
      <c r="S10" s="40"/>
      <c r="T10" s="8"/>
      <c r="U10" s="8"/>
      <c r="V10" s="41"/>
      <c r="W10" s="40"/>
      <c r="X10" s="41"/>
      <c r="Y10" s="75"/>
      <c r="Z10" s="39"/>
      <c r="AA10" s="40"/>
      <c r="AB10" s="8"/>
      <c r="AC10" s="8"/>
      <c r="AD10" s="8"/>
      <c r="AE10" s="12"/>
      <c r="AF10" s="13"/>
      <c r="AG10" s="41"/>
      <c r="AH10" s="40"/>
      <c r="AI10" s="8"/>
      <c r="AJ10" s="8"/>
      <c r="AK10" s="41"/>
      <c r="AL10" s="75"/>
      <c r="AM10" s="76">
        <f t="array" ref="AM10">SUM(COUNTIFS(F10, {"X","/\"}, F$6, "&lt;&gt;"), COUNTIFS(H10:L10, {"X","/\"}, H$6:L$6, "&lt;&gt;"), COUNTIFS(N10:R10, {"X","/\"}, N$6:R$6, "&lt;&gt;"), COUNTIFS(T10:V10, {"X","/\"}, T$6:V$6, "&lt;&gt;"), COUNTIFS(X10, {"X","/\"}, X$6, "&lt;&gt;"), COUNTIFS(Z10, {"X","/\"}, Z$6, "&lt;&gt;"), COUNTIFS(AB10:AG10, {"X","/\"}, AB$6:AG$6, "&lt;&gt;"), COUNTIFS(AI10:AK10, {"X","/\"}, AI$6:AK$6, "&lt;&gt;"))</f>
        <v>0</v>
      </c>
      <c r="AN10" s="77"/>
      <c r="AO10" s="76">
        <f t="array" ref="AO10">SUM(COUNTIFS(F10, {"","/","\"}, F$6, "&lt;&gt;"), COUNTIFS(H10:L10, {"","/","\"}, H$6:L$6, "&lt;&gt;"), COUNTIFS(N10:R10, {"","/","\"}, N$6:R$6, "&lt;&gt;"), COUNTIFS(T10:V10, {"","/","\"}, T$6:V$6, "&lt;&gt;"), COUNTIFS(X10, {"","/","\"}, X$6, "&lt;&gt;"), COUNTIFS(Z10, {"","/","\"}, Z$6, "&lt;&gt;"), COUNTIFS(AB10:AG10, {"","/","\"}, AB$6:AG$6, "&lt;&gt;"), COUNTIFS(AI10:AK10, {"","/","\"}, AI$6:AK$6, "&lt;&gt;"))</f>
        <v>0</v>
      </c>
      <c r="AP10" s="77"/>
      <c r="AQ10" s="78" t="s">
        <v>19</v>
      </c>
      <c r="AR10" s="79"/>
      <c r="AS10" s="79"/>
      <c r="AT10" s="79"/>
      <c r="AU10" s="77"/>
    </row>
    <row r="11" spans="1:47" ht="20" customHeight="1">
      <c r="A11" s="80">
        <v>4</v>
      </c>
      <c r="B11" s="81"/>
      <c r="C11" s="82"/>
      <c r="D11" s="83"/>
      <c r="E11" s="84"/>
      <c r="F11" s="39"/>
      <c r="G11" s="40"/>
      <c r="H11" s="8"/>
      <c r="I11" s="8"/>
      <c r="J11" s="8"/>
      <c r="K11" s="9"/>
      <c r="L11" s="85"/>
      <c r="M11" s="40"/>
      <c r="N11" s="8"/>
      <c r="O11" s="8"/>
      <c r="P11" s="8"/>
      <c r="Q11" s="14"/>
      <c r="R11" s="86"/>
      <c r="S11" s="40"/>
      <c r="T11" s="8"/>
      <c r="U11" s="8"/>
      <c r="V11" s="41"/>
      <c r="W11" s="40"/>
      <c r="X11" s="41"/>
      <c r="Y11" s="75"/>
      <c r="Z11" s="39"/>
      <c r="AA11" s="40"/>
      <c r="AB11" s="8"/>
      <c r="AC11" s="8"/>
      <c r="AD11" s="8"/>
      <c r="AE11" s="12"/>
      <c r="AF11" s="13"/>
      <c r="AG11" s="41"/>
      <c r="AH11" s="40"/>
      <c r="AI11" s="8"/>
      <c r="AJ11" s="8"/>
      <c r="AK11" s="41"/>
      <c r="AL11" s="75"/>
      <c r="AM11" s="76">
        <f t="array" ref="AM11">SUM(COUNTIFS(F11, {"X","/\"}, F$6, "&lt;&gt;"), COUNTIFS(H11:L11, {"X","/\"}, H$6:L$6, "&lt;&gt;"), COUNTIFS(N11:R11, {"X","/\"}, N$6:R$6, "&lt;&gt;"), COUNTIFS(T11:V11, {"X","/\"}, T$6:V$6, "&lt;&gt;"), COUNTIFS(X11, {"X","/\"}, X$6, "&lt;&gt;"), COUNTIFS(Z11, {"X","/\"}, Z$6, "&lt;&gt;"), COUNTIFS(AB11:AG11, {"X","/\"}, AB$6:AG$6, "&lt;&gt;"), COUNTIFS(AI11:AK11, {"X","/\"}, AI$6:AK$6, "&lt;&gt;"))</f>
        <v>0</v>
      </c>
      <c r="AN11" s="77"/>
      <c r="AO11" s="76">
        <f t="array" ref="AO11">SUM(COUNTIFS(F11, {"","/","\"}, F$6, "&lt;&gt;"), COUNTIFS(H11:L11, {"","/","\"}, H$6:L$6, "&lt;&gt;"), COUNTIFS(N11:R11, {"","/","\"}, N$6:R$6, "&lt;&gt;"), COUNTIFS(T11:V11, {"","/","\"}, T$6:V$6, "&lt;&gt;"), COUNTIFS(X11, {"","/","\"}, X$6, "&lt;&gt;"), COUNTIFS(Z11, {"","/","\"}, Z$6, "&lt;&gt;"), COUNTIFS(AB11:AG11, {"","/","\"}, AB$6:AG$6, "&lt;&gt;"), COUNTIFS(AI11:AK11, {"","/","\"}, AI$6:AK$6, "&lt;&gt;"))</f>
        <v>0</v>
      </c>
      <c r="AP11" s="77"/>
      <c r="AQ11" s="78" t="s">
        <v>19</v>
      </c>
      <c r="AR11" s="79"/>
      <c r="AS11" s="79"/>
      <c r="AT11" s="79"/>
      <c r="AU11" s="77"/>
    </row>
    <row r="12" spans="1:47" ht="20" customHeight="1">
      <c r="A12" s="80">
        <v>5</v>
      </c>
      <c r="B12" s="81"/>
      <c r="C12" s="82"/>
      <c r="D12" s="83"/>
      <c r="E12" s="84"/>
      <c r="F12" s="39"/>
      <c r="G12" s="40"/>
      <c r="H12" s="8"/>
      <c r="I12" s="8"/>
      <c r="J12" s="8"/>
      <c r="K12" s="9"/>
      <c r="L12" s="85"/>
      <c r="M12" s="40"/>
      <c r="N12" s="8"/>
      <c r="O12" s="8"/>
      <c r="P12" s="8"/>
      <c r="Q12" s="14"/>
      <c r="R12" s="86"/>
      <c r="S12" s="40"/>
      <c r="T12" s="8"/>
      <c r="U12" s="8"/>
      <c r="V12" s="41"/>
      <c r="W12" s="40"/>
      <c r="X12" s="41"/>
      <c r="Y12" s="75"/>
      <c r="Z12" s="39"/>
      <c r="AA12" s="40"/>
      <c r="AB12" s="8"/>
      <c r="AC12" s="8"/>
      <c r="AD12" s="8"/>
      <c r="AE12" s="12"/>
      <c r="AF12" s="13"/>
      <c r="AG12" s="41"/>
      <c r="AH12" s="40"/>
      <c r="AI12" s="8"/>
      <c r="AJ12" s="8"/>
      <c r="AK12" s="41"/>
      <c r="AL12" s="75"/>
      <c r="AM12" s="76">
        <f t="array" ref="AM12">SUM(COUNTIFS(F12, {"X","/\"}, F$6, "&lt;&gt;"), COUNTIFS(H12:L12, {"X","/\"}, H$6:L$6, "&lt;&gt;"), COUNTIFS(N12:R12, {"X","/\"}, N$6:R$6, "&lt;&gt;"), COUNTIFS(T12:V12, {"X","/\"}, T$6:V$6, "&lt;&gt;"), COUNTIFS(X12, {"X","/\"}, X$6, "&lt;&gt;"), COUNTIFS(Z12, {"X","/\"}, Z$6, "&lt;&gt;"), COUNTIFS(AB12:AG12, {"X","/\"}, AB$6:AG$6, "&lt;&gt;"), COUNTIFS(AI12:AK12, {"X","/\"}, AI$6:AK$6, "&lt;&gt;"))</f>
        <v>0</v>
      </c>
      <c r="AN12" s="77"/>
      <c r="AO12" s="76">
        <f t="array" ref="AO12">SUM(COUNTIFS(F12, {"","/","\"}, F$6, "&lt;&gt;"), COUNTIFS(H12:L12, {"","/","\"}, H$6:L$6, "&lt;&gt;"), COUNTIFS(N12:R12, {"","/","\"}, N$6:R$6, "&lt;&gt;"), COUNTIFS(T12:V12, {"","/","\"}, T$6:V$6, "&lt;&gt;"), COUNTIFS(X12, {"","/","\"}, X$6, "&lt;&gt;"), COUNTIFS(Z12, {"","/","\"}, Z$6, "&lt;&gt;"), COUNTIFS(AB12:AG12, {"","/","\"}, AB$6:AG$6, "&lt;&gt;"), COUNTIFS(AI12:AK12, {"","/","\"}, AI$6:AK$6, "&lt;&gt;"))</f>
        <v>0</v>
      </c>
      <c r="AP12" s="77"/>
      <c r="AQ12" s="78" t="s">
        <v>19</v>
      </c>
      <c r="AR12" s="79"/>
      <c r="AS12" s="79"/>
      <c r="AT12" s="79"/>
      <c r="AU12" s="77"/>
    </row>
    <row r="13" spans="1:47" ht="20" customHeight="1">
      <c r="A13" s="80">
        <v>6</v>
      </c>
      <c r="B13" s="81"/>
      <c r="C13" s="82"/>
      <c r="D13" s="83"/>
      <c r="E13" s="84"/>
      <c r="F13" s="39"/>
      <c r="G13" s="40"/>
      <c r="H13" s="8"/>
      <c r="I13" s="8"/>
      <c r="J13" s="8"/>
      <c r="K13" s="9"/>
      <c r="L13" s="85"/>
      <c r="M13" s="40"/>
      <c r="N13" s="8"/>
      <c r="O13" s="8"/>
      <c r="P13" s="8"/>
      <c r="Q13" s="14"/>
      <c r="R13" s="86"/>
      <c r="S13" s="40"/>
      <c r="T13" s="8"/>
      <c r="U13" s="8"/>
      <c r="V13" s="41"/>
      <c r="W13" s="40"/>
      <c r="X13" s="41"/>
      <c r="Y13" s="75"/>
      <c r="Z13" s="39"/>
      <c r="AA13" s="40"/>
      <c r="AB13" s="8"/>
      <c r="AC13" s="8"/>
      <c r="AD13" s="8"/>
      <c r="AE13" s="12"/>
      <c r="AF13" s="13"/>
      <c r="AG13" s="41"/>
      <c r="AH13" s="40"/>
      <c r="AI13" s="8"/>
      <c r="AJ13" s="8"/>
      <c r="AK13" s="41"/>
      <c r="AL13" s="75"/>
      <c r="AM13" s="76">
        <f t="array" ref="AM13">SUM(COUNTIFS(F13, {"X","/\"}, F$6, "&lt;&gt;"), COUNTIFS(H13:L13, {"X","/\"}, H$6:L$6, "&lt;&gt;"), COUNTIFS(N13:R13, {"X","/\"}, N$6:R$6, "&lt;&gt;"), COUNTIFS(T13:V13, {"X","/\"}, T$6:V$6, "&lt;&gt;"), COUNTIFS(X13, {"X","/\"}, X$6, "&lt;&gt;"), COUNTIFS(Z13, {"X","/\"}, Z$6, "&lt;&gt;"), COUNTIFS(AB13:AG13, {"X","/\"}, AB$6:AG$6, "&lt;&gt;"), COUNTIFS(AI13:AK13, {"X","/\"}, AI$6:AK$6, "&lt;&gt;"))</f>
        <v>0</v>
      </c>
      <c r="AN13" s="77"/>
      <c r="AO13" s="76">
        <f t="array" ref="AO13">SUM(COUNTIFS(F13, {"","/","\"}, F$6, "&lt;&gt;"), COUNTIFS(H13:L13, {"","/","\"}, H$6:L$6, "&lt;&gt;"), COUNTIFS(N13:R13, {"","/","\"}, N$6:R$6, "&lt;&gt;"), COUNTIFS(T13:V13, {"","/","\"}, T$6:V$6, "&lt;&gt;"), COUNTIFS(X13, {"","/","\"}, X$6, "&lt;&gt;"), COUNTIFS(Z13, {"","/","\"}, Z$6, "&lt;&gt;"), COUNTIFS(AB13:AG13, {"","/","\"}, AB$6:AG$6, "&lt;&gt;"), COUNTIFS(AI13:AK13, {"","/","\"}, AI$6:AK$6, "&lt;&gt;"))</f>
        <v>0</v>
      </c>
      <c r="AP13" s="77"/>
      <c r="AQ13" s="78" t="s">
        <v>19</v>
      </c>
      <c r="AR13" s="79"/>
      <c r="AS13" s="79"/>
      <c r="AT13" s="79"/>
      <c r="AU13" s="77"/>
    </row>
    <row r="14" spans="1:47" ht="20" customHeight="1">
      <c r="A14" s="80">
        <v>7</v>
      </c>
      <c r="B14" s="81"/>
      <c r="C14" s="82"/>
      <c r="D14" s="83"/>
      <c r="E14" s="84"/>
      <c r="F14" s="39"/>
      <c r="G14" s="40"/>
      <c r="H14" s="8"/>
      <c r="I14" s="8"/>
      <c r="J14" s="8"/>
      <c r="K14" s="9"/>
      <c r="L14" s="85"/>
      <c r="M14" s="40"/>
      <c r="N14" s="8"/>
      <c r="O14" s="8"/>
      <c r="P14" s="8"/>
      <c r="Q14" s="14"/>
      <c r="R14" s="86"/>
      <c r="S14" s="40"/>
      <c r="T14" s="8"/>
      <c r="U14" s="8"/>
      <c r="V14" s="41"/>
      <c r="W14" s="40"/>
      <c r="X14" s="41"/>
      <c r="Y14" s="75"/>
      <c r="Z14" s="39"/>
      <c r="AA14" s="40"/>
      <c r="AB14" s="8"/>
      <c r="AC14" s="8"/>
      <c r="AD14" s="8"/>
      <c r="AE14" s="12"/>
      <c r="AF14" s="13"/>
      <c r="AG14" s="41"/>
      <c r="AH14" s="40"/>
      <c r="AI14" s="8"/>
      <c r="AJ14" s="8"/>
      <c r="AK14" s="41"/>
      <c r="AL14" s="75"/>
      <c r="AM14" s="76">
        <f t="array" ref="AM14">SUM(COUNTIFS(F14, {"X","/\"}, F$6, "&lt;&gt;"), COUNTIFS(H14:L14, {"X","/\"}, H$6:L$6, "&lt;&gt;"), COUNTIFS(N14:R14, {"X","/\"}, N$6:R$6, "&lt;&gt;"), COUNTIFS(T14:V14, {"X","/\"}, T$6:V$6, "&lt;&gt;"), COUNTIFS(X14, {"X","/\"}, X$6, "&lt;&gt;"), COUNTIFS(Z14, {"X","/\"}, Z$6, "&lt;&gt;"), COUNTIFS(AB14:AG14, {"X","/\"}, AB$6:AG$6, "&lt;&gt;"), COUNTIFS(AI14:AK14, {"X","/\"}, AI$6:AK$6, "&lt;&gt;"))</f>
        <v>0</v>
      </c>
      <c r="AN14" s="77"/>
      <c r="AO14" s="76">
        <f t="array" ref="AO14">SUM(COUNTIFS(F14, {"","/","\"}, F$6, "&lt;&gt;"), COUNTIFS(H14:L14, {"","/","\"}, H$6:L$6, "&lt;&gt;"), COUNTIFS(N14:R14, {"","/","\"}, N$6:R$6, "&lt;&gt;"), COUNTIFS(T14:V14, {"","/","\"}, T$6:V$6, "&lt;&gt;"), COUNTIFS(X14, {"","/","\"}, X$6, "&lt;&gt;"), COUNTIFS(Z14, {"","/","\"}, Z$6, "&lt;&gt;"), COUNTIFS(AB14:AG14, {"","/","\"}, AB$6:AG$6, "&lt;&gt;"), COUNTIFS(AI14:AK14, {"","/","\"}, AI$6:AK$6, "&lt;&gt;"))</f>
        <v>0</v>
      </c>
      <c r="AP14" s="77"/>
      <c r="AQ14" s="78" t="s">
        <v>19</v>
      </c>
      <c r="AR14" s="79"/>
      <c r="AS14" s="79"/>
      <c r="AT14" s="79"/>
      <c r="AU14" s="77"/>
    </row>
    <row r="15" spans="1:47" ht="20" customHeight="1">
      <c r="A15" s="80">
        <v>8</v>
      </c>
      <c r="B15" s="81"/>
      <c r="C15" s="82"/>
      <c r="D15" s="83"/>
      <c r="E15" s="84"/>
      <c r="F15" s="39"/>
      <c r="G15" s="40"/>
      <c r="H15" s="8"/>
      <c r="I15" s="8"/>
      <c r="J15" s="8"/>
      <c r="K15" s="9"/>
      <c r="L15" s="85"/>
      <c r="M15" s="40"/>
      <c r="N15" s="8"/>
      <c r="O15" s="8"/>
      <c r="P15" s="8"/>
      <c r="Q15" s="14"/>
      <c r="R15" s="86"/>
      <c r="S15" s="40"/>
      <c r="T15" s="8"/>
      <c r="U15" s="8"/>
      <c r="V15" s="41"/>
      <c r="W15" s="40"/>
      <c r="X15" s="41"/>
      <c r="Y15" s="75"/>
      <c r="Z15" s="39"/>
      <c r="AA15" s="40"/>
      <c r="AB15" s="8"/>
      <c r="AC15" s="8"/>
      <c r="AD15" s="8"/>
      <c r="AE15" s="12"/>
      <c r="AF15" s="13"/>
      <c r="AG15" s="41"/>
      <c r="AH15" s="40"/>
      <c r="AI15" s="8"/>
      <c r="AJ15" s="8"/>
      <c r="AK15" s="41"/>
      <c r="AL15" s="75"/>
      <c r="AM15" s="76">
        <f t="array" ref="AM15">SUM(COUNTIFS(F15, {"X","/\"}, F$6, "&lt;&gt;"), COUNTIFS(H15:L15, {"X","/\"}, H$6:L$6, "&lt;&gt;"), COUNTIFS(N15:R15, {"X","/\"}, N$6:R$6, "&lt;&gt;"), COUNTIFS(T15:V15, {"X","/\"}, T$6:V$6, "&lt;&gt;"), COUNTIFS(X15, {"X","/\"}, X$6, "&lt;&gt;"), COUNTIFS(Z15, {"X","/\"}, Z$6, "&lt;&gt;"), COUNTIFS(AB15:AG15, {"X","/\"}, AB$6:AG$6, "&lt;&gt;"), COUNTIFS(AI15:AK15, {"X","/\"}, AI$6:AK$6, "&lt;&gt;"))</f>
        <v>0</v>
      </c>
      <c r="AN15" s="77"/>
      <c r="AO15" s="76">
        <f t="array" ref="AO15">SUM(COUNTIFS(F15, {"","/","\"}, F$6, "&lt;&gt;"), COUNTIFS(H15:L15, {"","/","\"}, H$6:L$6, "&lt;&gt;"), COUNTIFS(N15:R15, {"","/","\"}, N$6:R$6, "&lt;&gt;"), COUNTIFS(T15:V15, {"","/","\"}, T$6:V$6, "&lt;&gt;"), COUNTIFS(X15, {"","/","\"}, X$6, "&lt;&gt;"), COUNTIFS(Z15, {"","/","\"}, Z$6, "&lt;&gt;"), COUNTIFS(AB15:AG15, {"","/","\"}, AB$6:AG$6, "&lt;&gt;"), COUNTIFS(AI15:AK15, {"","/","\"}, AI$6:AK$6, "&lt;&gt;"))</f>
        <v>0</v>
      </c>
      <c r="AP15" s="77"/>
      <c r="AQ15" s="78" t="s">
        <v>19</v>
      </c>
      <c r="AR15" s="79"/>
      <c r="AS15" s="79"/>
      <c r="AT15" s="79"/>
      <c r="AU15" s="77"/>
    </row>
    <row r="16" spans="1:47" ht="20" customHeight="1">
      <c r="A16" s="80">
        <v>9</v>
      </c>
      <c r="B16" s="81"/>
      <c r="C16" s="82"/>
      <c r="D16" s="83"/>
      <c r="E16" s="84"/>
      <c r="F16" s="39"/>
      <c r="G16" s="40"/>
      <c r="H16" s="8"/>
      <c r="I16" s="8"/>
      <c r="J16" s="8"/>
      <c r="K16" s="9"/>
      <c r="L16" s="85"/>
      <c r="M16" s="40"/>
      <c r="N16" s="8"/>
      <c r="O16" s="8"/>
      <c r="P16" s="8"/>
      <c r="Q16" s="14"/>
      <c r="R16" s="86"/>
      <c r="S16" s="40"/>
      <c r="T16" s="8"/>
      <c r="U16" s="8"/>
      <c r="V16" s="41"/>
      <c r="W16" s="40"/>
      <c r="X16" s="41"/>
      <c r="Y16" s="75"/>
      <c r="Z16" s="39"/>
      <c r="AA16" s="40"/>
      <c r="AB16" s="8"/>
      <c r="AC16" s="8"/>
      <c r="AD16" s="8"/>
      <c r="AE16" s="12"/>
      <c r="AF16" s="13"/>
      <c r="AG16" s="41"/>
      <c r="AH16" s="40"/>
      <c r="AI16" s="8"/>
      <c r="AJ16" s="8"/>
      <c r="AK16" s="41"/>
      <c r="AL16" s="75"/>
      <c r="AM16" s="76">
        <f t="array" ref="AM16">SUM(COUNTIFS(F16, {"X","/\"}, F$6, "&lt;&gt;"), COUNTIFS(H16:L16, {"X","/\"}, H$6:L$6, "&lt;&gt;"), COUNTIFS(N16:R16, {"X","/\"}, N$6:R$6, "&lt;&gt;"), COUNTIFS(T16:V16, {"X","/\"}, T$6:V$6, "&lt;&gt;"), COUNTIFS(X16, {"X","/\"}, X$6, "&lt;&gt;"), COUNTIFS(Z16, {"X","/\"}, Z$6, "&lt;&gt;"), COUNTIFS(AB16:AG16, {"X","/\"}, AB$6:AG$6, "&lt;&gt;"), COUNTIFS(AI16:AK16, {"X","/\"}, AI$6:AK$6, "&lt;&gt;"))</f>
        <v>0</v>
      </c>
      <c r="AN16" s="77"/>
      <c r="AO16" s="76">
        <f t="array" ref="AO16">SUM(COUNTIFS(F16, {"","/","\"}, F$6, "&lt;&gt;"), COUNTIFS(H16:L16, {"","/","\"}, H$6:L$6, "&lt;&gt;"), COUNTIFS(N16:R16, {"","/","\"}, N$6:R$6, "&lt;&gt;"), COUNTIFS(T16:V16, {"","/","\"}, T$6:V$6, "&lt;&gt;"), COUNTIFS(X16, {"","/","\"}, X$6, "&lt;&gt;"), COUNTIFS(Z16, {"","/","\"}, Z$6, "&lt;&gt;"), COUNTIFS(AB16:AG16, {"","/","\"}, AB$6:AG$6, "&lt;&gt;"), COUNTIFS(AI16:AK16, {"","/","\"}, AI$6:AK$6, "&lt;&gt;"))</f>
        <v>0</v>
      </c>
      <c r="AP16" s="77"/>
      <c r="AQ16" s="78" t="s">
        <v>19</v>
      </c>
      <c r="AR16" s="79"/>
      <c r="AS16" s="79"/>
      <c r="AT16" s="79"/>
      <c r="AU16" s="77"/>
    </row>
    <row r="17" spans="1:47" ht="20" customHeight="1">
      <c r="A17" s="80">
        <v>10</v>
      </c>
      <c r="B17" s="81"/>
      <c r="C17" s="82"/>
      <c r="D17" s="83"/>
      <c r="E17" s="84"/>
      <c r="F17" s="39"/>
      <c r="G17" s="40"/>
      <c r="H17" s="8"/>
      <c r="I17" s="8"/>
      <c r="J17" s="8"/>
      <c r="K17" s="9"/>
      <c r="L17" s="85"/>
      <c r="M17" s="40"/>
      <c r="N17" s="8"/>
      <c r="O17" s="8"/>
      <c r="P17" s="8"/>
      <c r="Q17" s="14"/>
      <c r="R17" s="86"/>
      <c r="S17" s="40"/>
      <c r="T17" s="8"/>
      <c r="U17" s="8"/>
      <c r="V17" s="41"/>
      <c r="W17" s="40"/>
      <c r="X17" s="41"/>
      <c r="Y17" s="75"/>
      <c r="Z17" s="39"/>
      <c r="AA17" s="40"/>
      <c r="AB17" s="8"/>
      <c r="AC17" s="8"/>
      <c r="AD17" s="8"/>
      <c r="AE17" s="12"/>
      <c r="AF17" s="13"/>
      <c r="AG17" s="41"/>
      <c r="AH17" s="40"/>
      <c r="AI17" s="8"/>
      <c r="AJ17" s="8"/>
      <c r="AK17" s="41"/>
      <c r="AL17" s="75"/>
      <c r="AM17" s="76">
        <f t="array" ref="AM17">SUM(COUNTIFS(F17, {"X","/\"}, F$6, "&lt;&gt;"), COUNTIFS(H17:L17, {"X","/\"}, H$6:L$6, "&lt;&gt;"), COUNTIFS(N17:R17, {"X","/\"}, N$6:R$6, "&lt;&gt;"), COUNTIFS(T17:V17, {"X","/\"}, T$6:V$6, "&lt;&gt;"), COUNTIFS(X17, {"X","/\"}, X$6, "&lt;&gt;"), COUNTIFS(Z17, {"X","/\"}, Z$6, "&lt;&gt;"), COUNTIFS(AB17:AG17, {"X","/\"}, AB$6:AG$6, "&lt;&gt;"), COUNTIFS(AI17:AK17, {"X","/\"}, AI$6:AK$6, "&lt;&gt;"))</f>
        <v>0</v>
      </c>
      <c r="AN17" s="77"/>
      <c r="AO17" s="76">
        <f t="array" ref="AO17">SUM(COUNTIFS(F17, {"","/","\"}, F$6, "&lt;&gt;"), COUNTIFS(H17:L17, {"","/","\"}, H$6:L$6, "&lt;&gt;"), COUNTIFS(N17:R17, {"","/","\"}, N$6:R$6, "&lt;&gt;"), COUNTIFS(T17:V17, {"","/","\"}, T$6:V$6, "&lt;&gt;"), COUNTIFS(X17, {"","/","\"}, X$6, "&lt;&gt;"), COUNTIFS(Z17, {"","/","\"}, Z$6, "&lt;&gt;"), COUNTIFS(AB17:AG17, {"","/","\"}, AB$6:AG$6, "&lt;&gt;"), COUNTIFS(AI17:AK17, {"","/","\"}, AI$6:AK$6, "&lt;&gt;"))</f>
        <v>0</v>
      </c>
      <c r="AP17" s="77"/>
      <c r="AQ17" s="78" t="s">
        <v>19</v>
      </c>
      <c r="AR17" s="79"/>
      <c r="AS17" s="79"/>
      <c r="AT17" s="79"/>
      <c r="AU17" s="77"/>
    </row>
    <row r="18" spans="1:47" ht="20" customHeight="1">
      <c r="A18" s="80">
        <v>11</v>
      </c>
      <c r="B18" s="81"/>
      <c r="C18" s="82"/>
      <c r="D18" s="83"/>
      <c r="E18" s="84"/>
      <c r="F18" s="39"/>
      <c r="G18" s="40"/>
      <c r="H18" s="8"/>
      <c r="I18" s="8"/>
      <c r="J18" s="8"/>
      <c r="K18" s="9"/>
      <c r="L18" s="85"/>
      <c r="M18" s="40"/>
      <c r="N18" s="8"/>
      <c r="O18" s="8"/>
      <c r="P18" s="8"/>
      <c r="Q18" s="14"/>
      <c r="R18" s="86"/>
      <c r="S18" s="40"/>
      <c r="T18" s="8"/>
      <c r="U18" s="8"/>
      <c r="V18" s="41"/>
      <c r="W18" s="40"/>
      <c r="X18" s="41"/>
      <c r="Y18" s="75"/>
      <c r="Z18" s="39"/>
      <c r="AA18" s="40"/>
      <c r="AB18" s="8"/>
      <c r="AC18" s="8"/>
      <c r="AD18" s="8"/>
      <c r="AE18" s="12"/>
      <c r="AF18" s="13"/>
      <c r="AG18" s="41"/>
      <c r="AH18" s="40"/>
      <c r="AI18" s="8"/>
      <c r="AJ18" s="8"/>
      <c r="AK18" s="41"/>
      <c r="AL18" s="75"/>
      <c r="AM18" s="76">
        <f t="array" ref="AM18">SUM(COUNTIFS(F18, {"X","/\"}, F$6, "&lt;&gt;"), COUNTIFS(H18:L18, {"X","/\"}, H$6:L$6, "&lt;&gt;"), COUNTIFS(N18:R18, {"X","/\"}, N$6:R$6, "&lt;&gt;"), COUNTIFS(T18:V18, {"X","/\"}, T$6:V$6, "&lt;&gt;"), COUNTIFS(X18, {"X","/\"}, X$6, "&lt;&gt;"), COUNTIFS(Z18, {"X","/\"}, Z$6, "&lt;&gt;"), COUNTIFS(AB18:AG18, {"X","/\"}, AB$6:AG$6, "&lt;&gt;"), COUNTIFS(AI18:AK18, {"X","/\"}, AI$6:AK$6, "&lt;&gt;"))</f>
        <v>0</v>
      </c>
      <c r="AN18" s="77"/>
      <c r="AO18" s="76">
        <f t="array" ref="AO18">SUM(COUNTIFS(F18, {"","/","\"}, F$6, "&lt;&gt;"), COUNTIFS(H18:L18, {"","/","\"}, H$6:L$6, "&lt;&gt;"), COUNTIFS(N18:R18, {"","/","\"}, N$6:R$6, "&lt;&gt;"), COUNTIFS(T18:V18, {"","/","\"}, T$6:V$6, "&lt;&gt;"), COUNTIFS(X18, {"","/","\"}, X$6, "&lt;&gt;"), COUNTIFS(Z18, {"","/","\"}, Z$6, "&lt;&gt;"), COUNTIFS(AB18:AG18, {"","/","\"}, AB$6:AG$6, "&lt;&gt;"), COUNTIFS(AI18:AK18, {"","/","\"}, AI$6:AK$6, "&lt;&gt;"))</f>
        <v>0</v>
      </c>
      <c r="AP18" s="77"/>
      <c r="AQ18" s="78" t="s">
        <v>19</v>
      </c>
      <c r="AR18" s="79"/>
      <c r="AS18" s="79"/>
      <c r="AT18" s="79"/>
      <c r="AU18" s="77"/>
    </row>
    <row r="19" spans="1:47" ht="20" customHeight="1">
      <c r="A19" s="80">
        <v>12</v>
      </c>
      <c r="B19" s="81"/>
      <c r="C19" s="82"/>
      <c r="D19" s="83"/>
      <c r="E19" s="84"/>
      <c r="F19" s="39"/>
      <c r="G19" s="40"/>
      <c r="H19" s="8"/>
      <c r="I19" s="8"/>
      <c r="J19" s="8"/>
      <c r="K19" s="9"/>
      <c r="L19" s="85"/>
      <c r="M19" s="40"/>
      <c r="N19" s="8"/>
      <c r="O19" s="8"/>
      <c r="P19" s="8"/>
      <c r="Q19" s="14"/>
      <c r="R19" s="86"/>
      <c r="S19" s="40"/>
      <c r="T19" s="8"/>
      <c r="U19" s="8"/>
      <c r="V19" s="41"/>
      <c r="W19" s="40"/>
      <c r="X19" s="41"/>
      <c r="Y19" s="75"/>
      <c r="Z19" s="39"/>
      <c r="AA19" s="40"/>
      <c r="AB19" s="8"/>
      <c r="AC19" s="8"/>
      <c r="AD19" s="8"/>
      <c r="AE19" s="12"/>
      <c r="AF19" s="13"/>
      <c r="AG19" s="41"/>
      <c r="AH19" s="40"/>
      <c r="AI19" s="8"/>
      <c r="AJ19" s="8"/>
      <c r="AK19" s="41"/>
      <c r="AL19" s="75"/>
      <c r="AM19" s="76">
        <f t="array" ref="AM19">SUM(COUNTIFS(F19, {"X","/\"}, F$6, "&lt;&gt;"), COUNTIFS(H19:L19, {"X","/\"}, H$6:L$6, "&lt;&gt;"), COUNTIFS(N19:R19, {"X","/\"}, N$6:R$6, "&lt;&gt;"), COUNTIFS(T19:V19, {"X","/\"}, T$6:V$6, "&lt;&gt;"), COUNTIFS(X19, {"X","/\"}, X$6, "&lt;&gt;"), COUNTIFS(Z19, {"X","/\"}, Z$6, "&lt;&gt;"), COUNTIFS(AB19:AG19, {"X","/\"}, AB$6:AG$6, "&lt;&gt;"), COUNTIFS(AI19:AK19, {"X","/\"}, AI$6:AK$6, "&lt;&gt;"))</f>
        <v>0</v>
      </c>
      <c r="AN19" s="77"/>
      <c r="AO19" s="76">
        <f t="array" ref="AO19">SUM(COUNTIFS(F19, {"","/","\"}, F$6, "&lt;&gt;"), COUNTIFS(H19:L19, {"","/","\"}, H$6:L$6, "&lt;&gt;"), COUNTIFS(N19:R19, {"","/","\"}, N$6:R$6, "&lt;&gt;"), COUNTIFS(T19:V19, {"","/","\"}, T$6:V$6, "&lt;&gt;"), COUNTIFS(X19, {"","/","\"}, X$6, "&lt;&gt;"), COUNTIFS(Z19, {"","/","\"}, Z$6, "&lt;&gt;"), COUNTIFS(AB19:AG19, {"","/","\"}, AB$6:AG$6, "&lt;&gt;"), COUNTIFS(AI19:AK19, {"","/","\"}, AI$6:AK$6, "&lt;&gt;"))</f>
        <v>0</v>
      </c>
      <c r="AP19" s="77"/>
      <c r="AQ19" s="78" t="s">
        <v>19</v>
      </c>
      <c r="AR19" s="79"/>
      <c r="AS19" s="79"/>
      <c r="AT19" s="79"/>
      <c r="AU19" s="77"/>
    </row>
    <row r="20" spans="1:47" ht="20" customHeight="1">
      <c r="A20" s="80">
        <v>13</v>
      </c>
      <c r="B20" s="81"/>
      <c r="C20" s="82"/>
      <c r="D20" s="83"/>
      <c r="E20" s="84"/>
      <c r="F20" s="39" t="s">
        <v>19</v>
      </c>
      <c r="G20" s="40"/>
      <c r="H20" s="8" t="s">
        <v>19</v>
      </c>
      <c r="I20" s="8" t="s">
        <v>19</v>
      </c>
      <c r="J20" s="8" t="s">
        <v>19</v>
      </c>
      <c r="K20" s="9" t="s">
        <v>19</v>
      </c>
      <c r="L20" s="85" t="s">
        <v>19</v>
      </c>
      <c r="M20" s="40"/>
      <c r="N20" s="8" t="s">
        <v>19</v>
      </c>
      <c r="O20" s="8" t="s">
        <v>19</v>
      </c>
      <c r="P20" s="8" t="s">
        <v>19</v>
      </c>
      <c r="Q20" s="14" t="s">
        <v>19</v>
      </c>
      <c r="R20" s="86" t="s">
        <v>19</v>
      </c>
      <c r="S20" s="40"/>
      <c r="T20" s="8" t="s">
        <v>19</v>
      </c>
      <c r="U20" s="8" t="s">
        <v>19</v>
      </c>
      <c r="V20" s="41" t="s">
        <v>19</v>
      </c>
      <c r="W20" s="40"/>
      <c r="X20" s="41" t="s">
        <v>19</v>
      </c>
      <c r="Y20" s="75"/>
      <c r="Z20" s="39" t="s">
        <v>19</v>
      </c>
      <c r="AA20" s="40"/>
      <c r="AB20" s="8" t="s">
        <v>19</v>
      </c>
      <c r="AC20" s="8" t="s">
        <v>19</v>
      </c>
      <c r="AD20" s="8" t="s">
        <v>19</v>
      </c>
      <c r="AE20" s="12" t="s">
        <v>19</v>
      </c>
      <c r="AF20" s="13" t="s">
        <v>19</v>
      </c>
      <c r="AG20" s="41" t="s">
        <v>19</v>
      </c>
      <c r="AH20" s="40"/>
      <c r="AI20" s="8" t="s">
        <v>19</v>
      </c>
      <c r="AJ20" s="8" t="s">
        <v>19</v>
      </c>
      <c r="AK20" s="41" t="s">
        <v>19</v>
      </c>
      <c r="AL20" s="75"/>
      <c r="AM20" s="76">
        <f t="array" ref="AM20">SUM(COUNTIFS(F20, {"X","/\"}, F$6, "&lt;&gt;"), COUNTIFS(H20:L20, {"X","/\"}, H$6:L$6, "&lt;&gt;"), COUNTIFS(N20:R20, {"X","/\"}, N$6:R$6, "&lt;&gt;"), COUNTIFS(T20:V20, {"X","/\"}, T$6:V$6, "&lt;&gt;"), COUNTIFS(X20, {"X","/\"}, X$6, "&lt;&gt;"), COUNTIFS(Z20, {"X","/\"}, Z$6, "&lt;&gt;"), COUNTIFS(AB20:AG20, {"X","/\"}, AB$6:AG$6, "&lt;&gt;"), COUNTIFS(AI20:AK20, {"X","/\"}, AI$6:AK$6, "&lt;&gt;"))</f>
        <v>0</v>
      </c>
      <c r="AN20" s="77"/>
      <c r="AO20" s="76">
        <f t="array" ref="AO20">SUM(COUNTIFS(F20, {"","/","\"}, F$6, "&lt;&gt;"), COUNTIFS(H20:L20, {"","/","\"}, H$6:L$6, "&lt;&gt;"), COUNTIFS(N20:R20, {"","/","\"}, N$6:R$6, "&lt;&gt;"), COUNTIFS(T20:V20, {"","/","\"}, T$6:V$6, "&lt;&gt;"), COUNTIFS(X20, {"","/","\"}, X$6, "&lt;&gt;"), COUNTIFS(Z20, {"","/","\"}, Z$6, "&lt;&gt;"), COUNTIFS(AB20:AG20, {"","/","\"}, AB$6:AG$6, "&lt;&gt;"), COUNTIFS(AI20:AK20, {"","/","\"}, AI$6:AK$6, "&lt;&gt;"))</f>
        <v>0</v>
      </c>
      <c r="AP20" s="77"/>
      <c r="AQ20" s="78" t="s">
        <v>19</v>
      </c>
      <c r="AR20" s="79"/>
      <c r="AS20" s="79"/>
      <c r="AT20" s="79"/>
      <c r="AU20" s="77"/>
    </row>
    <row r="21" spans="1:47" ht="20" customHeight="1">
      <c r="A21" s="80">
        <v>14</v>
      </c>
      <c r="B21" s="81"/>
      <c r="C21" s="82"/>
      <c r="D21" s="83"/>
      <c r="E21" s="84"/>
      <c r="F21" s="39" t="s">
        <v>19</v>
      </c>
      <c r="G21" s="40"/>
      <c r="H21" s="8" t="s">
        <v>19</v>
      </c>
      <c r="I21" s="8" t="s">
        <v>19</v>
      </c>
      <c r="J21" s="8" t="s">
        <v>19</v>
      </c>
      <c r="K21" s="9" t="s">
        <v>19</v>
      </c>
      <c r="L21" s="85" t="s">
        <v>19</v>
      </c>
      <c r="M21" s="40"/>
      <c r="N21" s="8" t="s">
        <v>19</v>
      </c>
      <c r="O21" s="8" t="s">
        <v>19</v>
      </c>
      <c r="P21" s="8" t="s">
        <v>19</v>
      </c>
      <c r="Q21" s="14" t="s">
        <v>19</v>
      </c>
      <c r="R21" s="86" t="s">
        <v>19</v>
      </c>
      <c r="S21" s="40"/>
      <c r="T21" s="8" t="s">
        <v>19</v>
      </c>
      <c r="U21" s="8" t="s">
        <v>19</v>
      </c>
      <c r="V21" s="41" t="s">
        <v>19</v>
      </c>
      <c r="W21" s="40"/>
      <c r="X21" s="41" t="s">
        <v>19</v>
      </c>
      <c r="Y21" s="75"/>
      <c r="Z21" s="39" t="s">
        <v>19</v>
      </c>
      <c r="AA21" s="40"/>
      <c r="AB21" s="8" t="s">
        <v>19</v>
      </c>
      <c r="AC21" s="8" t="s">
        <v>19</v>
      </c>
      <c r="AD21" s="8" t="s">
        <v>19</v>
      </c>
      <c r="AE21" s="12" t="s">
        <v>19</v>
      </c>
      <c r="AF21" s="13" t="s">
        <v>19</v>
      </c>
      <c r="AG21" s="41" t="s">
        <v>19</v>
      </c>
      <c r="AH21" s="40"/>
      <c r="AI21" s="8" t="s">
        <v>19</v>
      </c>
      <c r="AJ21" s="8" t="s">
        <v>19</v>
      </c>
      <c r="AK21" s="41" t="s">
        <v>19</v>
      </c>
      <c r="AL21" s="75"/>
      <c r="AM21" s="76">
        <f t="array" ref="AM21">SUM(COUNTIFS(F21, {"X","/\"}, F$6, "&lt;&gt;"), COUNTIFS(H21:L21, {"X","/\"}, H$6:L$6, "&lt;&gt;"), COUNTIFS(N21:R21, {"X","/\"}, N$6:R$6, "&lt;&gt;"), COUNTIFS(T21:V21, {"X","/\"}, T$6:V$6, "&lt;&gt;"), COUNTIFS(X21, {"X","/\"}, X$6, "&lt;&gt;"), COUNTIFS(Z21, {"X","/\"}, Z$6, "&lt;&gt;"), COUNTIFS(AB21:AG21, {"X","/\"}, AB$6:AG$6, "&lt;&gt;"), COUNTIFS(AI21:AK21, {"X","/\"}, AI$6:AK$6, "&lt;&gt;"))</f>
        <v>0</v>
      </c>
      <c r="AN21" s="77"/>
      <c r="AO21" s="76">
        <f t="array" ref="AO21">SUM(COUNTIFS(F21, {"","/","\"}, F$6, "&lt;&gt;"), COUNTIFS(H21:L21, {"","/","\"}, H$6:L$6, "&lt;&gt;"), COUNTIFS(N21:R21, {"","/","\"}, N$6:R$6, "&lt;&gt;"), COUNTIFS(T21:V21, {"","/","\"}, T$6:V$6, "&lt;&gt;"), COUNTIFS(X21, {"","/","\"}, X$6, "&lt;&gt;"), COUNTIFS(Z21, {"","/","\"}, Z$6, "&lt;&gt;"), COUNTIFS(AB21:AG21, {"","/","\"}, AB$6:AG$6, "&lt;&gt;"), COUNTIFS(AI21:AK21, {"","/","\"}, AI$6:AK$6, "&lt;&gt;"))</f>
        <v>0</v>
      </c>
      <c r="AP21" s="77"/>
      <c r="AQ21" s="78" t="s">
        <v>19</v>
      </c>
      <c r="AR21" s="79"/>
      <c r="AS21" s="79"/>
      <c r="AT21" s="79"/>
      <c r="AU21" s="77"/>
    </row>
    <row r="22" spans="1:47" ht="20" customHeight="1">
      <c r="A22" s="80">
        <v>15</v>
      </c>
      <c r="B22" s="81"/>
      <c r="C22" s="82"/>
      <c r="D22" s="83"/>
      <c r="E22" s="84"/>
      <c r="F22" s="39" t="s">
        <v>19</v>
      </c>
      <c r="G22" s="40"/>
      <c r="H22" s="8" t="s">
        <v>19</v>
      </c>
      <c r="I22" s="8" t="s">
        <v>19</v>
      </c>
      <c r="J22" s="8" t="s">
        <v>19</v>
      </c>
      <c r="K22" s="9" t="s">
        <v>19</v>
      </c>
      <c r="L22" s="85" t="s">
        <v>19</v>
      </c>
      <c r="M22" s="40"/>
      <c r="N22" s="8" t="s">
        <v>19</v>
      </c>
      <c r="O22" s="8" t="s">
        <v>19</v>
      </c>
      <c r="P22" s="8" t="s">
        <v>19</v>
      </c>
      <c r="Q22" s="14" t="s">
        <v>19</v>
      </c>
      <c r="R22" s="86" t="s">
        <v>19</v>
      </c>
      <c r="S22" s="40"/>
      <c r="T22" s="8" t="s">
        <v>19</v>
      </c>
      <c r="U22" s="8" t="s">
        <v>19</v>
      </c>
      <c r="V22" s="41" t="s">
        <v>19</v>
      </c>
      <c r="W22" s="40"/>
      <c r="X22" s="41" t="s">
        <v>19</v>
      </c>
      <c r="Y22" s="75"/>
      <c r="Z22" s="39" t="s">
        <v>19</v>
      </c>
      <c r="AA22" s="40"/>
      <c r="AB22" s="8" t="s">
        <v>19</v>
      </c>
      <c r="AC22" s="8" t="s">
        <v>19</v>
      </c>
      <c r="AD22" s="8" t="s">
        <v>19</v>
      </c>
      <c r="AE22" s="12" t="s">
        <v>19</v>
      </c>
      <c r="AF22" s="13" t="s">
        <v>19</v>
      </c>
      <c r="AG22" s="41" t="s">
        <v>19</v>
      </c>
      <c r="AH22" s="40"/>
      <c r="AI22" s="8" t="s">
        <v>19</v>
      </c>
      <c r="AJ22" s="8" t="s">
        <v>19</v>
      </c>
      <c r="AK22" s="41" t="s">
        <v>19</v>
      </c>
      <c r="AL22" s="75"/>
      <c r="AM22" s="76">
        <f t="array" ref="AM22">SUM(COUNTIFS(F22, {"X","/\"}, F$6, "&lt;&gt;"), COUNTIFS(H22:L22, {"X","/\"}, H$6:L$6, "&lt;&gt;"), COUNTIFS(N22:R22, {"X","/\"}, N$6:R$6, "&lt;&gt;"), COUNTIFS(T22:V22, {"X","/\"}, T$6:V$6, "&lt;&gt;"), COUNTIFS(X22, {"X","/\"}, X$6, "&lt;&gt;"), COUNTIFS(Z22, {"X","/\"}, Z$6, "&lt;&gt;"), COUNTIFS(AB22:AG22, {"X","/\"}, AB$6:AG$6, "&lt;&gt;"), COUNTIFS(AI22:AK22, {"X","/\"}, AI$6:AK$6, "&lt;&gt;"))</f>
        <v>0</v>
      </c>
      <c r="AN22" s="77"/>
      <c r="AO22" s="76">
        <f t="array" ref="AO22">SUM(COUNTIFS(F22, {"","/","\"}, F$6, "&lt;&gt;"), COUNTIFS(H22:L22, {"","/","\"}, H$6:L$6, "&lt;&gt;"), COUNTIFS(N22:R22, {"","/","\"}, N$6:R$6, "&lt;&gt;"), COUNTIFS(T22:V22, {"","/","\"}, T$6:V$6, "&lt;&gt;"), COUNTIFS(X22, {"","/","\"}, X$6, "&lt;&gt;"), COUNTIFS(Z22, {"","/","\"}, Z$6, "&lt;&gt;"), COUNTIFS(AB22:AG22, {"","/","\"}, AB$6:AG$6, "&lt;&gt;"), COUNTIFS(AI22:AK22, {"","/","\"}, AI$6:AK$6, "&lt;&gt;"))</f>
        <v>0</v>
      </c>
      <c r="AP22" s="77"/>
      <c r="AQ22" s="78" t="s">
        <v>19</v>
      </c>
      <c r="AR22" s="79"/>
      <c r="AS22" s="79"/>
      <c r="AT22" s="79"/>
      <c r="AU22" s="77"/>
    </row>
    <row r="23" spans="1:47" ht="20" customHeight="1">
      <c r="A23" s="80">
        <v>16</v>
      </c>
      <c r="B23" s="81"/>
      <c r="C23" s="82"/>
      <c r="D23" s="83"/>
      <c r="E23" s="84"/>
      <c r="F23" s="92" t="s">
        <v>19</v>
      </c>
      <c r="G23" s="93"/>
      <c r="H23" s="15" t="s">
        <v>19</v>
      </c>
      <c r="I23" s="15" t="s">
        <v>19</v>
      </c>
      <c r="J23" s="15" t="s">
        <v>19</v>
      </c>
      <c r="K23" s="16" t="s">
        <v>19</v>
      </c>
      <c r="L23" s="94" t="s">
        <v>19</v>
      </c>
      <c r="M23" s="93"/>
      <c r="N23" s="15" t="s">
        <v>19</v>
      </c>
      <c r="O23" s="15" t="s">
        <v>19</v>
      </c>
      <c r="P23" s="15" t="s">
        <v>19</v>
      </c>
      <c r="Q23" s="17" t="s">
        <v>19</v>
      </c>
      <c r="R23" s="95" t="s">
        <v>19</v>
      </c>
      <c r="S23" s="93"/>
      <c r="T23" s="15" t="s">
        <v>19</v>
      </c>
      <c r="U23" s="15" t="s">
        <v>19</v>
      </c>
      <c r="V23" s="96" t="s">
        <v>19</v>
      </c>
      <c r="W23" s="93"/>
      <c r="X23" s="96" t="s">
        <v>19</v>
      </c>
      <c r="Y23" s="97"/>
      <c r="Z23" s="92" t="s">
        <v>19</v>
      </c>
      <c r="AA23" s="93"/>
      <c r="AB23" s="15" t="s">
        <v>19</v>
      </c>
      <c r="AC23" s="15" t="s">
        <v>19</v>
      </c>
      <c r="AD23" s="15" t="s">
        <v>19</v>
      </c>
      <c r="AE23" s="18" t="s">
        <v>19</v>
      </c>
      <c r="AF23" s="19" t="s">
        <v>19</v>
      </c>
      <c r="AG23" s="96" t="s">
        <v>19</v>
      </c>
      <c r="AH23" s="93"/>
      <c r="AI23" s="15" t="s">
        <v>19</v>
      </c>
      <c r="AJ23" s="15" t="s">
        <v>19</v>
      </c>
      <c r="AK23" s="96" t="s">
        <v>19</v>
      </c>
      <c r="AL23" s="97"/>
      <c r="AM23" s="76">
        <f t="array" ref="AM23">SUM(COUNTIFS(F23, {"X","/\"}, F$6, "&lt;&gt;"), COUNTIFS(H23:L23, {"X","/\"}, H$6:L$6, "&lt;&gt;"), COUNTIFS(N23:R23, {"X","/\"}, N$6:R$6, "&lt;&gt;"), COUNTIFS(T23:V23, {"X","/\"}, T$6:V$6, "&lt;&gt;"), COUNTIFS(X23, {"X","/\"}, X$6, "&lt;&gt;"), COUNTIFS(Z23, {"X","/\"}, Z$6, "&lt;&gt;"), COUNTIFS(AB23:AG23, {"X","/\"}, AB$6:AG$6, "&lt;&gt;"), COUNTIFS(AI23:AK23, {"X","/\"}, AI$6:AK$6, "&lt;&gt;"))</f>
        <v>0</v>
      </c>
      <c r="AN23" s="77"/>
      <c r="AO23" s="76">
        <f t="array" ref="AO23">SUM(COUNTIFS(F23, {"","/","\"}, F$6, "&lt;&gt;"), COUNTIFS(H23:L23, {"","/","\"}, H$6:L$6, "&lt;&gt;"), COUNTIFS(N23:R23, {"","/","\"}, N$6:R$6, "&lt;&gt;"), COUNTIFS(T23:V23, {"","/","\"}, T$6:V$6, "&lt;&gt;"), COUNTIFS(X23, {"","/","\"}, X$6, "&lt;&gt;"), COUNTIFS(Z23, {"","/","\"}, Z$6, "&lt;&gt;"), COUNTIFS(AB23:AG23, {"","/","\"}, AB$6:AG$6, "&lt;&gt;"), COUNTIFS(AI23:AK23, {"","/","\"}, AI$6:AK$6, "&lt;&gt;"))</f>
        <v>0</v>
      </c>
      <c r="AP23" s="77"/>
      <c r="AQ23" s="98" t="s">
        <v>19</v>
      </c>
      <c r="AR23" s="99"/>
      <c r="AS23" s="99"/>
      <c r="AT23" s="99"/>
      <c r="AU23" s="100"/>
    </row>
    <row r="24" spans="1:47" ht="20" customHeight="1">
      <c r="A24" s="114">
        <f>COUNTA(C8:C23)</f>
        <v>0</v>
      </c>
      <c r="B24" s="115"/>
      <c r="C24" s="116" t="s">
        <v>20</v>
      </c>
      <c r="D24" s="117"/>
      <c r="E24" s="117"/>
      <c r="F24" s="118" t="str">
        <f t="array" ref="F24">IF(F$6="", "", SUM(COUNTIFS($C$8:$C$23, "&lt;&gt;", F$8:F$23, {"","/","\"})))</f>
        <v/>
      </c>
      <c r="G24" s="119"/>
      <c r="H24" s="20" t="str">
        <f t="array" ref="H24">IF(H$6="", "", SUM(COUNTIFS($C$8:$C$23, "&lt;&gt;", H$8:H$23, {"","/","\"})))</f>
        <v/>
      </c>
      <c r="I24" s="20" t="str">
        <f t="array" ref="I24">IF(I$6="", "", SUM(COUNTIFS($C$8:$C$23, "&lt;&gt;", I$8:I$23, {"","/","\"})))</f>
        <v/>
      </c>
      <c r="J24" s="20" t="str">
        <f t="array" ref="J24">IF(J$6="", "", SUM(COUNTIFS($C$8:$C$23, "&lt;&gt;", J$8:J$23, {"","/","\"})))</f>
        <v/>
      </c>
      <c r="K24" s="20" t="str">
        <f t="array" ref="K24">IF(K$6="", "", SUM(COUNTIFS($C$8:$C$23, "&lt;&gt;", K$8:K$23, {"","/","\"})))</f>
        <v/>
      </c>
      <c r="L24" s="118" t="str">
        <f t="array" ref="L24">IF(L$6="", "", SUM(COUNTIFS($C$8:$C$23, "&lt;&gt;", L$8:L$23, {"","/","\"})))</f>
        <v/>
      </c>
      <c r="M24" s="90"/>
      <c r="N24" s="20" t="str">
        <f t="array" ref="N24">IF(N$6="", "", SUM(COUNTIFS($C$8:$C$23, "&lt;&gt;", N$8:N$23, {"","/","\"})))</f>
        <v/>
      </c>
      <c r="O24" s="20" t="str">
        <f t="array" ref="O24">IF(O$6="", "", SUM(COUNTIFS($C$8:$C$23, "&lt;&gt;", O$8:O$23, {"","/","\"})))</f>
        <v/>
      </c>
      <c r="P24" s="20" t="str">
        <f t="array" ref="P24">IF(P$6="", "", SUM(COUNTIFS($C$8:$C$23, "&lt;&gt;", P$8:P$23, {"","/","\"})))</f>
        <v/>
      </c>
      <c r="Q24" s="21" t="str">
        <f t="array" ref="Q24">IF(Q$6="", "", SUM(COUNTIFS($C$8:$C$23, "&lt;&gt;", Q$8:Q$23, {"","/","\"})))</f>
        <v/>
      </c>
      <c r="R24" s="118" t="str">
        <f t="array" ref="R24">IF(R$6="", "", SUM(COUNTIFS($C$8:$C$23, "&lt;&gt;", R$8:R$23, {"","/","\"})))</f>
        <v/>
      </c>
      <c r="S24" s="90"/>
      <c r="T24" s="20" t="str">
        <f t="array" ref="T24">IF(T$6="", "", SUM(COUNTIFS($C$8:$C$23, "&lt;&gt;", T$8:T$23, {"","/","\"})))</f>
        <v/>
      </c>
      <c r="U24" s="20" t="str">
        <f t="array" ref="U24">IF(U$6="", "", SUM(COUNTIFS($C$8:$C$23, "&lt;&gt;", U$8:U$23, {"","/","\"})))</f>
        <v/>
      </c>
      <c r="V24" s="91" t="str">
        <f t="array" ref="V24">IF(V$6="", "", SUM(COUNTIFS($C$8:$C$23, "&lt;&gt;", V$8:V$23, {"","/","\"})))</f>
        <v/>
      </c>
      <c r="W24" s="90"/>
      <c r="X24" s="91" t="str">
        <f t="array" ref="X24">IF(X$6="", "", SUM(COUNTIFS($C$8:$C$23, "&lt;&gt;", X$8:X$23, {"","/","\"})))</f>
        <v/>
      </c>
      <c r="Y24" s="120"/>
      <c r="Z24" s="89" t="str">
        <f t="array" ref="Z24">IF(Z$6="", "", SUM(COUNTIFS($C$8:$C$23, "&lt;&gt;", Z$8:Z$23, {"","/","\"})))</f>
        <v/>
      </c>
      <c r="AA24" s="90"/>
      <c r="AB24" s="20" t="str">
        <f t="array" ref="AB24">IF(AB$6="", "", SUM(COUNTIFS($C$8:$C$23, "&lt;&gt;", AB$8:AB$23, {"","/","\"})))</f>
        <v/>
      </c>
      <c r="AC24" s="20" t="str">
        <f t="array" ref="AC24">IF(AC$6="", "", SUM(COUNTIFS($C$8:$C$23, "&lt;&gt;", AC$8:AC$23, {"","/","\"})))</f>
        <v/>
      </c>
      <c r="AD24" s="20" t="str">
        <f t="array" ref="AD24">IF(AD$6="", "", SUM(COUNTIFS($C$8:$C$23, "&lt;&gt;", AD$8:AD$23, {"","/","\"})))</f>
        <v/>
      </c>
      <c r="AE24" s="22" t="str">
        <f t="array" ref="AE24">IF(AE$6="", "", SUM(COUNTIFS($C$8:$C$23, "&lt;&gt;", AE$8:AE$23, {"","/","\"})))</f>
        <v/>
      </c>
      <c r="AF24" s="20" t="str">
        <f t="array" ref="AF24">IF(AF$6="", "", SUM(COUNTIFS($C$8:$C$23, "&lt;&gt;", AF$8:AF$23, {"","/","\"})))</f>
        <v/>
      </c>
      <c r="AG24" s="91" t="str">
        <f t="array" ref="AG24">IF(AG$6="", "", SUM(COUNTIFS($C$8:$C$23, "&lt;&gt;", AG$8:AG$23, {"","/","\"})))</f>
        <v/>
      </c>
      <c r="AH24" s="90"/>
      <c r="AI24" s="20" t="str">
        <f t="array" ref="AI24">IF(AI$6="", "", SUM(COUNTIFS($C$8:$C$23, "&lt;&gt;", AI$8:AI$23, {"","/","\"})))</f>
        <v/>
      </c>
      <c r="AJ24" s="20" t="str">
        <f t="array" ref="AJ24">IF(AJ$6="", "", SUM(COUNTIFS($C$8:$C$23, "&lt;&gt;", AJ$8:AJ$23, {"","/","\"})))</f>
        <v/>
      </c>
      <c r="AK24" s="91" t="str">
        <f t="array" ref="AK24">IF(AK$6="", "", SUM(COUNTIFS($C$8:$C$23, "&lt;&gt;", AK$8:AK$23, {"","/","\"})))</f>
        <v/>
      </c>
      <c r="AL24" s="101"/>
      <c r="AM24" s="102">
        <f>SUM(AM8:AN23)</f>
        <v>0</v>
      </c>
      <c r="AN24" s="103"/>
      <c r="AO24" s="102">
        <f>SUM(AO8:AP23)</f>
        <v>0</v>
      </c>
      <c r="AP24" s="103"/>
      <c r="AQ24" s="102" t="s">
        <v>19</v>
      </c>
      <c r="AR24" s="104"/>
      <c r="AS24" s="104"/>
      <c r="AT24" s="104"/>
      <c r="AU24" s="105"/>
    </row>
    <row r="25" spans="1:47" ht="20" customHeight="1">
      <c r="A25" s="80">
        <v>1</v>
      </c>
      <c r="B25" s="81"/>
      <c r="C25" s="82"/>
      <c r="D25" s="83"/>
      <c r="E25" s="84"/>
      <c r="F25" s="106"/>
      <c r="G25" s="107"/>
      <c r="H25" s="23"/>
      <c r="I25" s="23"/>
      <c r="J25" s="23"/>
      <c r="K25" s="24"/>
      <c r="L25" s="106"/>
      <c r="M25" s="107"/>
      <c r="N25" s="23"/>
      <c r="O25" s="23"/>
      <c r="P25" s="23"/>
      <c r="Q25" s="24"/>
      <c r="R25" s="106"/>
      <c r="S25" s="107"/>
      <c r="T25" s="23"/>
      <c r="U25" s="23"/>
      <c r="V25" s="108"/>
      <c r="W25" s="107"/>
      <c r="X25" s="108"/>
      <c r="Y25" s="109"/>
      <c r="Z25" s="106"/>
      <c r="AA25" s="107"/>
      <c r="AB25" s="23"/>
      <c r="AC25" s="23"/>
      <c r="AD25" s="23"/>
      <c r="AE25" s="24"/>
      <c r="AF25" s="25"/>
      <c r="AG25" s="108"/>
      <c r="AH25" s="107"/>
      <c r="AI25" s="23"/>
      <c r="AJ25" s="23"/>
      <c r="AK25" s="108"/>
      <c r="AL25" s="109"/>
      <c r="AM25" s="110">
        <f t="array" ref="AM25">SUM(COUNTIFS(F25, {"X","/\"}, F$6, "&lt;&gt;"), COUNTIFS(H25:L25, {"X","/\"}, H$6:L$6, "&lt;&gt;"), COUNTIFS(N25:R25, {"X","/\"}, N$6:R$6, "&lt;&gt;"), COUNTIFS(T25:V25, {"X","/\"}, T$6:V$6, "&lt;&gt;"), COUNTIFS(X25, {"X","/\"}, X$6, "&lt;&gt;"), COUNTIFS(Z25, {"X","/\"}, Z$6, "&lt;&gt;"), COUNTIFS(AB25:AG25, {"X","/\"}, AB$6:AG$6, "&lt;&gt;"), COUNTIFS(AI25:AK25, {"X","/\"}, AI$6:AK$6, "&lt;&gt;"))</f>
        <v>0</v>
      </c>
      <c r="AN25" s="111"/>
      <c r="AO25" s="110">
        <f t="array" ref="AO25">SUM(COUNTIFS(F25, {"","/","\"}, F$6, "&lt;&gt;"), COUNTIFS(H25:L25, {"","/","\"}, H$6:L$6, "&lt;&gt;"), COUNTIFS(N25:R25, {"","/","\"}, N$6:R$6, "&lt;&gt;"), COUNTIFS(T25:V25, {"","/","\"}, T$6:V$6, "&lt;&gt;"), COUNTIFS(X25, {"","/","\"}, X$6, "&lt;&gt;"), COUNTIFS(Z25, {"","/","\"}, Z$6, "&lt;&gt;"), COUNTIFS(AB25:AG25, {"","/","\"}, AB$6:AG$6, "&lt;&gt;"), COUNTIFS(AI25:AK25, {"","/","\"}, AI$6:AK$6, "&lt;&gt;"))</f>
        <v>0</v>
      </c>
      <c r="AP25" s="111"/>
      <c r="AQ25" s="112" t="s">
        <v>19</v>
      </c>
      <c r="AR25" s="113"/>
      <c r="AS25" s="113"/>
      <c r="AT25" s="113"/>
      <c r="AU25" s="111"/>
    </row>
    <row r="26" spans="1:47" ht="20" customHeight="1">
      <c r="A26" s="80">
        <v>2</v>
      </c>
      <c r="B26" s="81"/>
      <c r="C26" s="82"/>
      <c r="D26" s="83"/>
      <c r="E26" s="84"/>
      <c r="F26" s="39"/>
      <c r="G26" s="40"/>
      <c r="H26" s="8"/>
      <c r="I26" s="8"/>
      <c r="J26" s="8"/>
      <c r="K26" s="12"/>
      <c r="L26" s="39"/>
      <c r="M26" s="40"/>
      <c r="N26" s="8"/>
      <c r="O26" s="8"/>
      <c r="P26" s="8"/>
      <c r="Q26" s="12"/>
      <c r="R26" s="39"/>
      <c r="S26" s="40"/>
      <c r="T26" s="8"/>
      <c r="U26" s="8"/>
      <c r="V26" s="41"/>
      <c r="W26" s="40"/>
      <c r="X26" s="41"/>
      <c r="Y26" s="75"/>
      <c r="Z26" s="39"/>
      <c r="AA26" s="40"/>
      <c r="AB26" s="8"/>
      <c r="AC26" s="8"/>
      <c r="AD26" s="8"/>
      <c r="AE26" s="12"/>
      <c r="AF26" s="13"/>
      <c r="AG26" s="41"/>
      <c r="AH26" s="40"/>
      <c r="AI26" s="8"/>
      <c r="AJ26" s="8"/>
      <c r="AK26" s="41"/>
      <c r="AL26" s="75"/>
      <c r="AM26" s="76">
        <f t="array" ref="AM26">SUM(COUNTIFS(F26, {"X","/\"}, F$6, "&lt;&gt;"), COUNTIFS(H26:L26, {"X","/\"}, H$6:L$6, "&lt;&gt;"), COUNTIFS(N26:R26, {"X","/\"}, N$6:R$6, "&lt;&gt;"), COUNTIFS(T26:V26, {"X","/\"}, T$6:V$6, "&lt;&gt;"), COUNTIFS(X26, {"X","/\"}, X$6, "&lt;&gt;"), COUNTIFS(Z26, {"X","/\"}, Z$6, "&lt;&gt;"), COUNTIFS(AB26:AG26, {"X","/\"}, AB$6:AG$6, "&lt;&gt;"), COUNTIFS(AI26:AK26, {"X","/\"}, AI$6:AK$6, "&lt;&gt;"))</f>
        <v>0</v>
      </c>
      <c r="AN26" s="77"/>
      <c r="AO26" s="76">
        <f t="array" ref="AO26">SUM(COUNTIFS(F26, {"","/","\"}, F$6, "&lt;&gt;"), COUNTIFS(H26:L26, {"","/","\"}, H$6:L$6, "&lt;&gt;"), COUNTIFS(N26:R26, {"","/","\"}, N$6:R$6, "&lt;&gt;"), COUNTIFS(T26:V26, {"","/","\"}, T$6:V$6, "&lt;&gt;"), COUNTIFS(X26, {"","/","\"}, X$6, "&lt;&gt;"), COUNTIFS(Z26, {"","/","\"}, Z$6, "&lt;&gt;"), COUNTIFS(AB26:AG26, {"","/","\"}, AB$6:AG$6, "&lt;&gt;"), COUNTIFS(AI26:AK26, {"","/","\"}, AI$6:AK$6, "&lt;&gt;"))</f>
        <v>0</v>
      </c>
      <c r="AP26" s="77"/>
      <c r="AQ26" s="78" t="s">
        <v>19</v>
      </c>
      <c r="AR26" s="79"/>
      <c r="AS26" s="79"/>
      <c r="AT26" s="79"/>
      <c r="AU26" s="77"/>
    </row>
    <row r="27" spans="1:47" ht="20" customHeight="1">
      <c r="A27" s="80">
        <v>3</v>
      </c>
      <c r="B27" s="81"/>
      <c r="C27" s="82"/>
      <c r="D27" s="83"/>
      <c r="E27" s="84"/>
      <c r="F27" s="39"/>
      <c r="G27" s="40"/>
      <c r="H27" s="8"/>
      <c r="I27" s="8"/>
      <c r="J27" s="8"/>
      <c r="K27" s="12"/>
      <c r="L27" s="39"/>
      <c r="M27" s="40"/>
      <c r="N27" s="8"/>
      <c r="O27" s="8"/>
      <c r="P27" s="8"/>
      <c r="Q27" s="12"/>
      <c r="R27" s="39"/>
      <c r="S27" s="40"/>
      <c r="T27" s="8"/>
      <c r="U27" s="8"/>
      <c r="V27" s="41"/>
      <c r="W27" s="40"/>
      <c r="X27" s="41"/>
      <c r="Y27" s="75"/>
      <c r="Z27" s="39"/>
      <c r="AA27" s="40"/>
      <c r="AB27" s="8"/>
      <c r="AC27" s="8"/>
      <c r="AD27" s="8"/>
      <c r="AE27" s="12"/>
      <c r="AF27" s="13"/>
      <c r="AG27" s="41"/>
      <c r="AH27" s="40"/>
      <c r="AI27" s="8"/>
      <c r="AJ27" s="8"/>
      <c r="AK27" s="41"/>
      <c r="AL27" s="75"/>
      <c r="AM27" s="76">
        <f t="array" ref="AM27">SUM(COUNTIFS(F27, {"X","/\"}, F$6, "&lt;&gt;"), COUNTIFS(H27:L27, {"X","/\"}, H$6:L$6, "&lt;&gt;"), COUNTIFS(N27:R27, {"X","/\"}, N$6:R$6, "&lt;&gt;"), COUNTIFS(T27:V27, {"X","/\"}, T$6:V$6, "&lt;&gt;"), COUNTIFS(X27, {"X","/\"}, X$6, "&lt;&gt;"), COUNTIFS(Z27, {"X","/\"}, Z$6, "&lt;&gt;"), COUNTIFS(AB27:AG27, {"X","/\"}, AB$6:AG$6, "&lt;&gt;"), COUNTIFS(AI27:AK27, {"X","/\"}, AI$6:AK$6, "&lt;&gt;"))</f>
        <v>0</v>
      </c>
      <c r="AN27" s="77"/>
      <c r="AO27" s="76">
        <f t="array" ref="AO27">SUM(COUNTIFS(F27, {"","/","\"}, F$6, "&lt;&gt;"), COUNTIFS(H27:L27, {"","/","\"}, H$6:L$6, "&lt;&gt;"), COUNTIFS(N27:R27, {"","/","\"}, N$6:R$6, "&lt;&gt;"), COUNTIFS(T27:V27, {"","/","\"}, T$6:V$6, "&lt;&gt;"), COUNTIFS(X27, {"","/","\"}, X$6, "&lt;&gt;"), COUNTIFS(Z27, {"","/","\"}, Z$6, "&lt;&gt;"), COUNTIFS(AB27:AG27, {"","/","\"}, AB$6:AG$6, "&lt;&gt;"), COUNTIFS(AI27:AK27, {"","/","\"}, AI$6:AK$6, "&lt;&gt;"))</f>
        <v>0</v>
      </c>
      <c r="AP27" s="77"/>
      <c r="AQ27" s="78" t="s">
        <v>19</v>
      </c>
      <c r="AR27" s="79"/>
      <c r="AS27" s="79"/>
      <c r="AT27" s="79"/>
      <c r="AU27" s="77"/>
    </row>
    <row r="28" spans="1:47" ht="20" customHeight="1">
      <c r="A28" s="80">
        <v>4</v>
      </c>
      <c r="B28" s="81"/>
      <c r="C28" s="82"/>
      <c r="D28" s="83"/>
      <c r="E28" s="84"/>
      <c r="F28" s="39"/>
      <c r="G28" s="40"/>
      <c r="H28" s="8"/>
      <c r="I28" s="8"/>
      <c r="J28" s="8"/>
      <c r="K28" s="12"/>
      <c r="L28" s="39"/>
      <c r="M28" s="40"/>
      <c r="N28" s="8"/>
      <c r="O28" s="8"/>
      <c r="P28" s="8"/>
      <c r="Q28" s="12"/>
      <c r="R28" s="39"/>
      <c r="S28" s="40"/>
      <c r="T28" s="8"/>
      <c r="U28" s="8"/>
      <c r="V28" s="41"/>
      <c r="W28" s="40"/>
      <c r="X28" s="41"/>
      <c r="Y28" s="75"/>
      <c r="Z28" s="39"/>
      <c r="AA28" s="40"/>
      <c r="AB28" s="8"/>
      <c r="AC28" s="8"/>
      <c r="AD28" s="8"/>
      <c r="AE28" s="12"/>
      <c r="AF28" s="13"/>
      <c r="AG28" s="41"/>
      <c r="AH28" s="40"/>
      <c r="AI28" s="8"/>
      <c r="AJ28" s="8"/>
      <c r="AK28" s="41"/>
      <c r="AL28" s="75"/>
      <c r="AM28" s="76">
        <f t="array" ref="AM28">SUM(COUNTIFS(F28, {"X","/\"}, F$6, "&lt;&gt;"), COUNTIFS(H28:L28, {"X","/\"}, H$6:L$6, "&lt;&gt;"), COUNTIFS(N28:R28, {"X","/\"}, N$6:R$6, "&lt;&gt;"), COUNTIFS(T28:V28, {"X","/\"}, T$6:V$6, "&lt;&gt;"), COUNTIFS(X28, {"X","/\"}, X$6, "&lt;&gt;"), COUNTIFS(Z28, {"X","/\"}, Z$6, "&lt;&gt;"), COUNTIFS(AB28:AG28, {"X","/\"}, AB$6:AG$6, "&lt;&gt;"), COUNTIFS(AI28:AK28, {"X","/\"}, AI$6:AK$6, "&lt;&gt;"))</f>
        <v>0</v>
      </c>
      <c r="AN28" s="77"/>
      <c r="AO28" s="76">
        <f t="array" ref="AO28">SUM(COUNTIFS(F28, {"","/","\"}, F$6, "&lt;&gt;"), COUNTIFS(H28:L28, {"","/","\"}, H$6:L$6, "&lt;&gt;"), COUNTIFS(N28:R28, {"","/","\"}, N$6:R$6, "&lt;&gt;"), COUNTIFS(T28:V28, {"","/","\"}, T$6:V$6, "&lt;&gt;"), COUNTIFS(X28, {"","/","\"}, X$6, "&lt;&gt;"), COUNTIFS(Z28, {"","/","\"}, Z$6, "&lt;&gt;"), COUNTIFS(AB28:AG28, {"","/","\"}, AB$6:AG$6, "&lt;&gt;"), COUNTIFS(AI28:AK28, {"","/","\"}, AI$6:AK$6, "&lt;&gt;"))</f>
        <v>0</v>
      </c>
      <c r="AP28" s="77"/>
      <c r="AQ28" s="78" t="s">
        <v>19</v>
      </c>
      <c r="AR28" s="79"/>
      <c r="AS28" s="79"/>
      <c r="AT28" s="79"/>
      <c r="AU28" s="77"/>
    </row>
    <row r="29" spans="1:47" ht="20" customHeight="1">
      <c r="A29" s="80">
        <v>5</v>
      </c>
      <c r="B29" s="81"/>
      <c r="C29" s="82"/>
      <c r="D29" s="83"/>
      <c r="E29" s="84"/>
      <c r="F29" s="39"/>
      <c r="G29" s="40"/>
      <c r="H29" s="8"/>
      <c r="I29" s="8"/>
      <c r="J29" s="8"/>
      <c r="K29" s="12"/>
      <c r="L29" s="39"/>
      <c r="M29" s="40"/>
      <c r="N29" s="8"/>
      <c r="O29" s="8"/>
      <c r="P29" s="8"/>
      <c r="Q29" s="12"/>
      <c r="R29" s="39"/>
      <c r="S29" s="40"/>
      <c r="T29" s="8"/>
      <c r="U29" s="8"/>
      <c r="V29" s="41"/>
      <c r="W29" s="40"/>
      <c r="X29" s="41"/>
      <c r="Y29" s="75"/>
      <c r="Z29" s="39"/>
      <c r="AA29" s="40"/>
      <c r="AB29" s="8"/>
      <c r="AC29" s="8"/>
      <c r="AD29" s="8"/>
      <c r="AE29" s="12"/>
      <c r="AF29" s="13"/>
      <c r="AG29" s="41"/>
      <c r="AH29" s="40"/>
      <c r="AI29" s="8"/>
      <c r="AJ29" s="8"/>
      <c r="AK29" s="41"/>
      <c r="AL29" s="75"/>
      <c r="AM29" s="76">
        <f t="array" ref="AM29">SUM(COUNTIFS(F29, {"X","/\"}, F$6, "&lt;&gt;"), COUNTIFS(H29:L29, {"X","/\"}, H$6:L$6, "&lt;&gt;"), COUNTIFS(N29:R29, {"X","/\"}, N$6:R$6, "&lt;&gt;"), COUNTIFS(T29:V29, {"X","/\"}, T$6:V$6, "&lt;&gt;"), COUNTIFS(X29, {"X","/\"}, X$6, "&lt;&gt;"), COUNTIFS(Z29, {"X","/\"}, Z$6, "&lt;&gt;"), COUNTIFS(AB29:AG29, {"X","/\"}, AB$6:AG$6, "&lt;&gt;"), COUNTIFS(AI29:AK29, {"X","/\"}, AI$6:AK$6, "&lt;&gt;"))</f>
        <v>0</v>
      </c>
      <c r="AN29" s="77"/>
      <c r="AO29" s="76">
        <f t="array" ref="AO29">SUM(COUNTIFS(F29, {"","/","\"}, F$6, "&lt;&gt;"), COUNTIFS(H29:L29, {"","/","\"}, H$6:L$6, "&lt;&gt;"), COUNTIFS(N29:R29, {"","/","\"}, N$6:R$6, "&lt;&gt;"), COUNTIFS(T29:V29, {"","/","\"}, T$6:V$6, "&lt;&gt;"), COUNTIFS(X29, {"","/","\"}, X$6, "&lt;&gt;"), COUNTIFS(Z29, {"","/","\"}, Z$6, "&lt;&gt;"), COUNTIFS(AB29:AG29, {"","/","\"}, AB$6:AG$6, "&lt;&gt;"), COUNTIFS(AI29:AK29, {"","/","\"}, AI$6:AK$6, "&lt;&gt;"))</f>
        <v>0</v>
      </c>
      <c r="AP29" s="77"/>
      <c r="AQ29" s="78" t="s">
        <v>19</v>
      </c>
      <c r="AR29" s="79"/>
      <c r="AS29" s="79"/>
      <c r="AT29" s="79"/>
      <c r="AU29" s="77"/>
    </row>
    <row r="30" spans="1:47" ht="20" customHeight="1">
      <c r="A30" s="80">
        <v>6</v>
      </c>
      <c r="B30" s="81"/>
      <c r="C30" s="82"/>
      <c r="D30" s="83"/>
      <c r="E30" s="84"/>
      <c r="F30" s="39"/>
      <c r="G30" s="40"/>
      <c r="H30" s="8"/>
      <c r="I30" s="8"/>
      <c r="J30" s="8"/>
      <c r="K30" s="12"/>
      <c r="L30" s="39"/>
      <c r="M30" s="40"/>
      <c r="N30" s="8"/>
      <c r="O30" s="8"/>
      <c r="P30" s="8"/>
      <c r="Q30" s="12"/>
      <c r="R30" s="39"/>
      <c r="S30" s="40"/>
      <c r="T30" s="8"/>
      <c r="U30" s="8"/>
      <c r="V30" s="41"/>
      <c r="W30" s="40"/>
      <c r="X30" s="41"/>
      <c r="Y30" s="75"/>
      <c r="Z30" s="39"/>
      <c r="AA30" s="40"/>
      <c r="AB30" s="8"/>
      <c r="AC30" s="8"/>
      <c r="AD30" s="8"/>
      <c r="AE30" s="12"/>
      <c r="AF30" s="13"/>
      <c r="AG30" s="41"/>
      <c r="AH30" s="40"/>
      <c r="AI30" s="8"/>
      <c r="AJ30" s="8"/>
      <c r="AK30" s="41"/>
      <c r="AL30" s="75"/>
      <c r="AM30" s="76">
        <f t="array" ref="AM30">SUM(COUNTIFS(F30, {"X","/\"}, F$6, "&lt;&gt;"), COUNTIFS(H30:L30, {"X","/\"}, H$6:L$6, "&lt;&gt;"), COUNTIFS(N30:R30, {"X","/\"}, N$6:R$6, "&lt;&gt;"), COUNTIFS(T30:V30, {"X","/\"}, T$6:V$6, "&lt;&gt;"), COUNTIFS(X30, {"X","/\"}, X$6, "&lt;&gt;"), COUNTIFS(Z30, {"X","/\"}, Z$6, "&lt;&gt;"), COUNTIFS(AB30:AG30, {"X","/\"}, AB$6:AG$6, "&lt;&gt;"), COUNTIFS(AI30:AK30, {"X","/\"}, AI$6:AK$6, "&lt;&gt;"))</f>
        <v>0</v>
      </c>
      <c r="AN30" s="77"/>
      <c r="AO30" s="76">
        <f t="array" ref="AO30">SUM(COUNTIFS(F30, {"","/","\"}, F$6, "&lt;&gt;"), COUNTIFS(H30:L30, {"","/","\"}, H$6:L$6, "&lt;&gt;"), COUNTIFS(N30:R30, {"","/","\"}, N$6:R$6, "&lt;&gt;"), COUNTIFS(T30:V30, {"","/","\"}, T$6:V$6, "&lt;&gt;"), COUNTIFS(X30, {"","/","\"}, X$6, "&lt;&gt;"), COUNTIFS(Z30, {"","/","\"}, Z$6, "&lt;&gt;"), COUNTIFS(AB30:AG30, {"","/","\"}, AB$6:AG$6, "&lt;&gt;"), COUNTIFS(AI30:AK30, {"","/","\"}, AI$6:AK$6, "&lt;&gt;"))</f>
        <v>0</v>
      </c>
      <c r="AP30" s="77"/>
      <c r="AQ30" s="78" t="s">
        <v>19</v>
      </c>
      <c r="AR30" s="79"/>
      <c r="AS30" s="79"/>
      <c r="AT30" s="79"/>
      <c r="AU30" s="77"/>
    </row>
    <row r="31" spans="1:47" ht="20" customHeight="1">
      <c r="A31" s="80">
        <v>7</v>
      </c>
      <c r="B31" s="81"/>
      <c r="C31" s="82"/>
      <c r="D31" s="83"/>
      <c r="E31" s="84"/>
      <c r="F31" s="39"/>
      <c r="G31" s="40"/>
      <c r="H31" s="8"/>
      <c r="I31" s="8"/>
      <c r="J31" s="8"/>
      <c r="K31" s="12"/>
      <c r="L31" s="39"/>
      <c r="M31" s="40"/>
      <c r="N31" s="8"/>
      <c r="O31" s="8"/>
      <c r="P31" s="8"/>
      <c r="Q31" s="12"/>
      <c r="R31" s="39"/>
      <c r="S31" s="40"/>
      <c r="T31" s="8"/>
      <c r="U31" s="8"/>
      <c r="V31" s="41"/>
      <c r="W31" s="40"/>
      <c r="X31" s="41"/>
      <c r="Y31" s="75"/>
      <c r="Z31" s="39"/>
      <c r="AA31" s="40"/>
      <c r="AB31" s="8"/>
      <c r="AC31" s="8"/>
      <c r="AD31" s="8"/>
      <c r="AE31" s="12"/>
      <c r="AF31" s="13"/>
      <c r="AG31" s="41"/>
      <c r="AH31" s="40"/>
      <c r="AI31" s="8"/>
      <c r="AJ31" s="8"/>
      <c r="AK31" s="41"/>
      <c r="AL31" s="75"/>
      <c r="AM31" s="76">
        <f t="array" ref="AM31">SUM(COUNTIFS(F31, {"X","/\"}, F$6, "&lt;&gt;"), COUNTIFS(H31:L31, {"X","/\"}, H$6:L$6, "&lt;&gt;"), COUNTIFS(N31:R31, {"X","/\"}, N$6:R$6, "&lt;&gt;"), COUNTIFS(T31:V31, {"X","/\"}, T$6:V$6, "&lt;&gt;"), COUNTIFS(X31, {"X","/\"}, X$6, "&lt;&gt;"), COUNTIFS(Z31, {"X","/\"}, Z$6, "&lt;&gt;"), COUNTIFS(AB31:AG31, {"X","/\"}, AB$6:AG$6, "&lt;&gt;"), COUNTIFS(AI31:AK31, {"X","/\"}, AI$6:AK$6, "&lt;&gt;"))</f>
        <v>0</v>
      </c>
      <c r="AN31" s="77"/>
      <c r="AO31" s="76">
        <f t="array" ref="AO31">SUM(COUNTIFS(F31, {"","/","\"}, F$6, "&lt;&gt;"), COUNTIFS(H31:L31, {"","/","\"}, H$6:L$6, "&lt;&gt;"), COUNTIFS(N31:R31, {"","/","\"}, N$6:R$6, "&lt;&gt;"), COUNTIFS(T31:V31, {"","/","\"}, T$6:V$6, "&lt;&gt;"), COUNTIFS(X31, {"","/","\"}, X$6, "&lt;&gt;"), COUNTIFS(Z31, {"","/","\"}, Z$6, "&lt;&gt;"), COUNTIFS(AB31:AG31, {"","/","\"}, AB$6:AG$6, "&lt;&gt;"), COUNTIFS(AI31:AK31, {"","/","\"}, AI$6:AK$6, "&lt;&gt;"))</f>
        <v>0</v>
      </c>
      <c r="AP31" s="77"/>
      <c r="AQ31" s="78" t="s">
        <v>19</v>
      </c>
      <c r="AR31" s="79"/>
      <c r="AS31" s="79"/>
      <c r="AT31" s="79"/>
      <c r="AU31" s="77"/>
    </row>
    <row r="32" spans="1:47" ht="20" customHeight="1">
      <c r="A32" s="80">
        <v>8</v>
      </c>
      <c r="B32" s="81"/>
      <c r="C32" s="82"/>
      <c r="D32" s="83"/>
      <c r="E32" s="84"/>
      <c r="F32" s="39"/>
      <c r="G32" s="40"/>
      <c r="H32" s="8"/>
      <c r="I32" s="8"/>
      <c r="J32" s="8"/>
      <c r="K32" s="12"/>
      <c r="L32" s="39"/>
      <c r="M32" s="40"/>
      <c r="N32" s="8"/>
      <c r="O32" s="8"/>
      <c r="P32" s="8"/>
      <c r="Q32" s="12"/>
      <c r="R32" s="39"/>
      <c r="S32" s="40"/>
      <c r="T32" s="8"/>
      <c r="U32" s="8"/>
      <c r="V32" s="41"/>
      <c r="W32" s="40"/>
      <c r="X32" s="41"/>
      <c r="Y32" s="75"/>
      <c r="Z32" s="39"/>
      <c r="AA32" s="40"/>
      <c r="AB32" s="8"/>
      <c r="AC32" s="8"/>
      <c r="AD32" s="8"/>
      <c r="AE32" s="12"/>
      <c r="AF32" s="13"/>
      <c r="AG32" s="41"/>
      <c r="AH32" s="40"/>
      <c r="AI32" s="8"/>
      <c r="AJ32" s="8"/>
      <c r="AK32" s="41"/>
      <c r="AL32" s="75"/>
      <c r="AM32" s="76">
        <f t="array" ref="AM32">SUM(COUNTIFS(F32, {"X","/\"}, F$6, "&lt;&gt;"), COUNTIFS(H32:L32, {"X","/\"}, H$6:L$6, "&lt;&gt;"), COUNTIFS(N32:R32, {"X","/\"}, N$6:R$6, "&lt;&gt;"), COUNTIFS(T32:V32, {"X","/\"}, T$6:V$6, "&lt;&gt;"), COUNTIFS(X32, {"X","/\"}, X$6, "&lt;&gt;"), COUNTIFS(Z32, {"X","/\"}, Z$6, "&lt;&gt;"), COUNTIFS(AB32:AG32, {"X","/\"}, AB$6:AG$6, "&lt;&gt;"), COUNTIFS(AI32:AK32, {"X","/\"}, AI$6:AK$6, "&lt;&gt;"))</f>
        <v>0</v>
      </c>
      <c r="AN32" s="77"/>
      <c r="AO32" s="76">
        <f t="array" ref="AO32">SUM(COUNTIFS(F32, {"","/","\"}, F$6, "&lt;&gt;"), COUNTIFS(H32:L32, {"","/","\"}, H$6:L$6, "&lt;&gt;"), COUNTIFS(N32:R32, {"","/","\"}, N$6:R$6, "&lt;&gt;"), COUNTIFS(T32:V32, {"","/","\"}, T$6:V$6, "&lt;&gt;"), COUNTIFS(X32, {"","/","\"}, X$6, "&lt;&gt;"), COUNTIFS(Z32, {"","/","\"}, Z$6, "&lt;&gt;"), COUNTIFS(AB32:AG32, {"","/","\"}, AB$6:AG$6, "&lt;&gt;"), COUNTIFS(AI32:AK32, {"","/","\"}, AI$6:AK$6, "&lt;&gt;"))</f>
        <v>0</v>
      </c>
      <c r="AP32" s="77"/>
      <c r="AQ32" s="78" t="s">
        <v>19</v>
      </c>
      <c r="AR32" s="79"/>
      <c r="AS32" s="79"/>
      <c r="AT32" s="79"/>
      <c r="AU32" s="77"/>
    </row>
    <row r="33" spans="1:47" ht="20" customHeight="1">
      <c r="A33" s="80">
        <v>9</v>
      </c>
      <c r="B33" s="81"/>
      <c r="C33" s="82"/>
      <c r="D33" s="83"/>
      <c r="E33" s="84"/>
      <c r="F33" s="39"/>
      <c r="G33" s="40"/>
      <c r="H33" s="8"/>
      <c r="I33" s="8"/>
      <c r="J33" s="8"/>
      <c r="K33" s="12"/>
      <c r="L33" s="39"/>
      <c r="M33" s="40"/>
      <c r="N33" s="8"/>
      <c r="O33" s="8"/>
      <c r="P33" s="8"/>
      <c r="Q33" s="12"/>
      <c r="R33" s="39"/>
      <c r="S33" s="40"/>
      <c r="T33" s="8"/>
      <c r="U33" s="8"/>
      <c r="V33" s="41"/>
      <c r="W33" s="40"/>
      <c r="X33" s="41"/>
      <c r="Y33" s="75"/>
      <c r="Z33" s="39"/>
      <c r="AA33" s="40"/>
      <c r="AB33" s="8"/>
      <c r="AC33" s="8"/>
      <c r="AD33" s="8"/>
      <c r="AE33" s="12"/>
      <c r="AF33" s="13"/>
      <c r="AG33" s="41"/>
      <c r="AH33" s="40"/>
      <c r="AI33" s="8"/>
      <c r="AJ33" s="8"/>
      <c r="AK33" s="41"/>
      <c r="AL33" s="75"/>
      <c r="AM33" s="76">
        <f t="array" ref="AM33">SUM(COUNTIFS(F33, {"X","/\"}, F$6, "&lt;&gt;"), COUNTIFS(H33:L33, {"X","/\"}, H$6:L$6, "&lt;&gt;"), COUNTIFS(N33:R33, {"X","/\"}, N$6:R$6, "&lt;&gt;"), COUNTIFS(T33:V33, {"X","/\"}, T$6:V$6, "&lt;&gt;"), COUNTIFS(X33, {"X","/\"}, X$6, "&lt;&gt;"), COUNTIFS(Z33, {"X","/\"}, Z$6, "&lt;&gt;"), COUNTIFS(AB33:AG33, {"X","/\"}, AB$6:AG$6, "&lt;&gt;"), COUNTIFS(AI33:AK33, {"X","/\"}, AI$6:AK$6, "&lt;&gt;"))</f>
        <v>0</v>
      </c>
      <c r="AN33" s="77"/>
      <c r="AO33" s="76">
        <f t="array" ref="AO33">SUM(COUNTIFS(F33, {"","/","\"}, F$6, "&lt;&gt;"), COUNTIFS(H33:L33, {"","/","\"}, H$6:L$6, "&lt;&gt;"), COUNTIFS(N33:R33, {"","/","\"}, N$6:R$6, "&lt;&gt;"), COUNTIFS(T33:V33, {"","/","\"}, T$6:V$6, "&lt;&gt;"), COUNTIFS(X33, {"","/","\"}, X$6, "&lt;&gt;"), COUNTIFS(Z33, {"","/","\"}, Z$6, "&lt;&gt;"), COUNTIFS(AB33:AG33, {"","/","\"}, AB$6:AG$6, "&lt;&gt;"), COUNTIFS(AI33:AK33, {"","/","\"}, AI$6:AK$6, "&lt;&gt;"))</f>
        <v>0</v>
      </c>
      <c r="AP33" s="77"/>
      <c r="AQ33" s="78" t="s">
        <v>19</v>
      </c>
      <c r="AR33" s="79"/>
      <c r="AS33" s="79"/>
      <c r="AT33" s="79"/>
      <c r="AU33" s="77"/>
    </row>
    <row r="34" spans="1:47" ht="20" customHeight="1">
      <c r="A34" s="80">
        <v>10</v>
      </c>
      <c r="B34" s="81"/>
      <c r="C34" s="82"/>
      <c r="D34" s="83"/>
      <c r="E34" s="84"/>
      <c r="F34" s="39"/>
      <c r="G34" s="40"/>
      <c r="H34" s="8"/>
      <c r="I34" s="8"/>
      <c r="J34" s="8"/>
      <c r="K34" s="12"/>
      <c r="L34" s="39"/>
      <c r="M34" s="40"/>
      <c r="N34" s="8"/>
      <c r="O34" s="8"/>
      <c r="P34" s="8"/>
      <c r="Q34" s="12"/>
      <c r="R34" s="39"/>
      <c r="S34" s="40"/>
      <c r="T34" s="8"/>
      <c r="U34" s="8"/>
      <c r="V34" s="41"/>
      <c r="W34" s="40"/>
      <c r="X34" s="41"/>
      <c r="Y34" s="75"/>
      <c r="Z34" s="39"/>
      <c r="AA34" s="40"/>
      <c r="AB34" s="8"/>
      <c r="AC34" s="8"/>
      <c r="AD34" s="8"/>
      <c r="AE34" s="12"/>
      <c r="AF34" s="13"/>
      <c r="AG34" s="41"/>
      <c r="AH34" s="40"/>
      <c r="AI34" s="8"/>
      <c r="AJ34" s="8"/>
      <c r="AK34" s="41"/>
      <c r="AL34" s="75"/>
      <c r="AM34" s="76">
        <f t="array" ref="AM34">SUM(COUNTIFS(F34, {"X","/\"}, F$6, "&lt;&gt;"), COUNTIFS(H34:L34, {"X","/\"}, H$6:L$6, "&lt;&gt;"), COUNTIFS(N34:R34, {"X","/\"}, N$6:R$6, "&lt;&gt;"), COUNTIFS(T34:V34, {"X","/\"}, T$6:V$6, "&lt;&gt;"), COUNTIFS(X34, {"X","/\"}, X$6, "&lt;&gt;"), COUNTIFS(Z34, {"X","/\"}, Z$6, "&lt;&gt;"), COUNTIFS(AB34:AG34, {"X","/\"}, AB$6:AG$6, "&lt;&gt;"), COUNTIFS(AI34:AK34, {"X","/\"}, AI$6:AK$6, "&lt;&gt;"))</f>
        <v>0</v>
      </c>
      <c r="AN34" s="77"/>
      <c r="AO34" s="76">
        <f t="array" ref="AO34">SUM(COUNTIFS(F34, {"","/","\"}, F$6, "&lt;&gt;"), COUNTIFS(H34:L34, {"","/","\"}, H$6:L$6, "&lt;&gt;"), COUNTIFS(N34:R34, {"","/","\"}, N$6:R$6, "&lt;&gt;"), COUNTIFS(T34:V34, {"","/","\"}, T$6:V$6, "&lt;&gt;"), COUNTIFS(X34, {"","/","\"}, X$6, "&lt;&gt;"), COUNTIFS(Z34, {"","/","\"}, Z$6, "&lt;&gt;"), COUNTIFS(AB34:AG34, {"","/","\"}, AB$6:AG$6, "&lt;&gt;"), COUNTIFS(AI34:AK34, {"","/","\"}, AI$6:AK$6, "&lt;&gt;"))</f>
        <v>0</v>
      </c>
      <c r="AP34" s="77"/>
      <c r="AQ34" s="78" t="s">
        <v>19</v>
      </c>
      <c r="AR34" s="79"/>
      <c r="AS34" s="79"/>
      <c r="AT34" s="79"/>
      <c r="AU34" s="77"/>
    </row>
    <row r="35" spans="1:47" ht="20" customHeight="1">
      <c r="A35" s="80">
        <v>11</v>
      </c>
      <c r="B35" s="81"/>
      <c r="C35" s="82"/>
      <c r="D35" s="83"/>
      <c r="E35" s="84"/>
      <c r="F35" s="39"/>
      <c r="G35" s="40"/>
      <c r="H35" s="8"/>
      <c r="I35" s="8"/>
      <c r="J35" s="8"/>
      <c r="K35" s="12"/>
      <c r="L35" s="39"/>
      <c r="M35" s="40"/>
      <c r="N35" s="8"/>
      <c r="O35" s="8"/>
      <c r="P35" s="8"/>
      <c r="Q35" s="12"/>
      <c r="R35" s="39"/>
      <c r="S35" s="40"/>
      <c r="T35" s="8"/>
      <c r="U35" s="8"/>
      <c r="V35" s="41"/>
      <c r="W35" s="40"/>
      <c r="X35" s="41"/>
      <c r="Y35" s="75"/>
      <c r="Z35" s="39"/>
      <c r="AA35" s="40"/>
      <c r="AB35" s="8"/>
      <c r="AC35" s="8"/>
      <c r="AD35" s="8"/>
      <c r="AE35" s="12"/>
      <c r="AF35" s="13"/>
      <c r="AG35" s="41"/>
      <c r="AH35" s="40"/>
      <c r="AI35" s="8"/>
      <c r="AJ35" s="8"/>
      <c r="AK35" s="41"/>
      <c r="AL35" s="75"/>
      <c r="AM35" s="76">
        <f t="array" ref="AM35">SUM(COUNTIFS(F35, {"X","/\"}, F$6, "&lt;&gt;"), COUNTIFS(H35:L35, {"X","/\"}, H$6:L$6, "&lt;&gt;"), COUNTIFS(N35:R35, {"X","/\"}, N$6:R$6, "&lt;&gt;"), COUNTIFS(T35:V35, {"X","/\"}, T$6:V$6, "&lt;&gt;"), COUNTIFS(X35, {"X","/\"}, X$6, "&lt;&gt;"), COUNTIFS(Z35, {"X","/\"}, Z$6, "&lt;&gt;"), COUNTIFS(AB35:AG35, {"X","/\"}, AB$6:AG$6, "&lt;&gt;"), COUNTIFS(AI35:AK35, {"X","/\"}, AI$6:AK$6, "&lt;&gt;"))</f>
        <v>0</v>
      </c>
      <c r="AN35" s="77"/>
      <c r="AO35" s="76">
        <f t="array" ref="AO35">SUM(COUNTIFS(F35, {"","/","\"}, F$6, "&lt;&gt;"), COUNTIFS(H35:L35, {"","/","\"}, H$6:L$6, "&lt;&gt;"), COUNTIFS(N35:R35, {"","/","\"}, N$6:R$6, "&lt;&gt;"), COUNTIFS(T35:V35, {"","/","\"}, T$6:V$6, "&lt;&gt;"), COUNTIFS(X35, {"","/","\"}, X$6, "&lt;&gt;"), COUNTIFS(Z35, {"","/","\"}, Z$6, "&lt;&gt;"), COUNTIFS(AB35:AG35, {"","/","\"}, AB$6:AG$6, "&lt;&gt;"), COUNTIFS(AI35:AK35, {"","/","\"}, AI$6:AK$6, "&lt;&gt;"))</f>
        <v>0</v>
      </c>
      <c r="AP35" s="77"/>
      <c r="AQ35" s="78" t="s">
        <v>19</v>
      </c>
      <c r="AR35" s="79"/>
      <c r="AS35" s="79"/>
      <c r="AT35" s="79"/>
      <c r="AU35" s="77"/>
    </row>
    <row r="36" spans="1:47" ht="20" customHeight="1">
      <c r="A36" s="80">
        <v>12</v>
      </c>
      <c r="B36" s="81"/>
      <c r="C36" s="82"/>
      <c r="D36" s="83"/>
      <c r="E36" s="84"/>
      <c r="F36" s="39"/>
      <c r="G36" s="40"/>
      <c r="H36" s="8"/>
      <c r="I36" s="8"/>
      <c r="J36" s="8"/>
      <c r="K36" s="12"/>
      <c r="L36" s="39"/>
      <c r="M36" s="40"/>
      <c r="N36" s="8"/>
      <c r="O36" s="8"/>
      <c r="P36" s="8"/>
      <c r="Q36" s="12"/>
      <c r="R36" s="39"/>
      <c r="S36" s="40"/>
      <c r="T36" s="8"/>
      <c r="U36" s="8"/>
      <c r="V36" s="41"/>
      <c r="W36" s="40"/>
      <c r="X36" s="41"/>
      <c r="Y36" s="75"/>
      <c r="Z36" s="39"/>
      <c r="AA36" s="40"/>
      <c r="AB36" s="8"/>
      <c r="AC36" s="8"/>
      <c r="AD36" s="8"/>
      <c r="AE36" s="12"/>
      <c r="AF36" s="13"/>
      <c r="AG36" s="41"/>
      <c r="AH36" s="40"/>
      <c r="AI36" s="8"/>
      <c r="AJ36" s="8"/>
      <c r="AK36" s="41"/>
      <c r="AL36" s="75"/>
      <c r="AM36" s="76">
        <f t="array" ref="AM36">SUM(COUNTIFS(F36, {"X","/\"}, F$6, "&lt;&gt;"), COUNTIFS(H36:L36, {"X","/\"}, H$6:L$6, "&lt;&gt;"), COUNTIFS(N36:R36, {"X","/\"}, N$6:R$6, "&lt;&gt;"), COUNTIFS(T36:V36, {"X","/\"}, T$6:V$6, "&lt;&gt;"), COUNTIFS(X36, {"X","/\"}, X$6, "&lt;&gt;"), COUNTIFS(Z36, {"X","/\"}, Z$6, "&lt;&gt;"), COUNTIFS(AB36:AG36, {"X","/\"}, AB$6:AG$6, "&lt;&gt;"), COUNTIFS(AI36:AK36, {"X","/\"}, AI$6:AK$6, "&lt;&gt;"))</f>
        <v>0</v>
      </c>
      <c r="AN36" s="77"/>
      <c r="AO36" s="76">
        <f t="array" ref="AO36">SUM(COUNTIFS(F36, {"","/","\"}, F$6, "&lt;&gt;"), COUNTIFS(H36:L36, {"","/","\"}, H$6:L$6, "&lt;&gt;"), COUNTIFS(N36:R36, {"","/","\"}, N$6:R$6, "&lt;&gt;"), COUNTIFS(T36:V36, {"","/","\"}, T$6:V$6, "&lt;&gt;"), COUNTIFS(X36, {"","/","\"}, X$6, "&lt;&gt;"), COUNTIFS(Z36, {"","/","\"}, Z$6, "&lt;&gt;"), COUNTIFS(AB36:AG36, {"","/","\"}, AB$6:AG$6, "&lt;&gt;"), COUNTIFS(AI36:AK36, {"","/","\"}, AI$6:AK$6, "&lt;&gt;"))</f>
        <v>0</v>
      </c>
      <c r="AP36" s="77"/>
      <c r="AQ36" s="78" t="s">
        <v>19</v>
      </c>
      <c r="AR36" s="79"/>
      <c r="AS36" s="79"/>
      <c r="AT36" s="79"/>
      <c r="AU36" s="77"/>
    </row>
    <row r="37" spans="1:47" ht="20" customHeight="1">
      <c r="A37" s="80">
        <v>13</v>
      </c>
      <c r="B37" s="81"/>
      <c r="C37" s="82"/>
      <c r="D37" s="83"/>
      <c r="E37" s="84"/>
      <c r="F37" s="39"/>
      <c r="G37" s="40"/>
      <c r="H37" s="8"/>
      <c r="I37" s="8"/>
      <c r="J37" s="8"/>
      <c r="K37" s="12"/>
      <c r="L37" s="39"/>
      <c r="M37" s="40"/>
      <c r="N37" s="8"/>
      <c r="O37" s="8"/>
      <c r="P37" s="8"/>
      <c r="Q37" s="12"/>
      <c r="R37" s="39"/>
      <c r="S37" s="40"/>
      <c r="T37" s="8"/>
      <c r="U37" s="8"/>
      <c r="V37" s="41"/>
      <c r="W37" s="40"/>
      <c r="X37" s="41"/>
      <c r="Y37" s="75"/>
      <c r="Z37" s="39"/>
      <c r="AA37" s="40"/>
      <c r="AB37" s="8"/>
      <c r="AC37" s="8"/>
      <c r="AD37" s="8"/>
      <c r="AE37" s="12"/>
      <c r="AF37" s="13"/>
      <c r="AG37" s="41"/>
      <c r="AH37" s="40"/>
      <c r="AI37" s="8"/>
      <c r="AJ37" s="8"/>
      <c r="AK37" s="41"/>
      <c r="AL37" s="75"/>
      <c r="AM37" s="76">
        <f t="array" ref="AM37">SUM(COUNTIFS(F37, {"X","/\"}, F$6, "&lt;&gt;"), COUNTIFS(H37:L37, {"X","/\"}, H$6:L$6, "&lt;&gt;"), COUNTIFS(N37:R37, {"X","/\"}, N$6:R$6, "&lt;&gt;"), COUNTIFS(T37:V37, {"X","/\"}, T$6:V$6, "&lt;&gt;"), COUNTIFS(X37, {"X","/\"}, X$6, "&lt;&gt;"), COUNTIFS(Z37, {"X","/\"}, Z$6, "&lt;&gt;"), COUNTIFS(AB37:AG37, {"X","/\"}, AB$6:AG$6, "&lt;&gt;"), COUNTIFS(AI37:AK37, {"X","/\"}, AI$6:AK$6, "&lt;&gt;"))</f>
        <v>0</v>
      </c>
      <c r="AN37" s="77"/>
      <c r="AO37" s="76">
        <f t="array" ref="AO37">SUM(COUNTIFS(F37, {"","/","\"}, F$6, "&lt;&gt;"), COUNTIFS(H37:L37, {"","/","\"}, H$6:L$6, "&lt;&gt;"), COUNTIFS(N37:R37, {"","/","\"}, N$6:R$6, "&lt;&gt;"), COUNTIFS(T37:V37, {"","/","\"}, T$6:V$6, "&lt;&gt;"), COUNTIFS(X37, {"","/","\"}, X$6, "&lt;&gt;"), COUNTIFS(Z37, {"","/","\"}, Z$6, "&lt;&gt;"), COUNTIFS(AB37:AG37, {"","/","\"}, AB$6:AG$6, "&lt;&gt;"), COUNTIFS(AI37:AK37, {"","/","\"}, AI$6:AK$6, "&lt;&gt;"))</f>
        <v>0</v>
      </c>
      <c r="AP37" s="77"/>
      <c r="AQ37" s="78" t="s">
        <v>19</v>
      </c>
      <c r="AR37" s="79"/>
      <c r="AS37" s="79"/>
      <c r="AT37" s="79"/>
      <c r="AU37" s="77"/>
    </row>
    <row r="38" spans="1:47" ht="20" customHeight="1">
      <c r="A38" s="80">
        <v>14</v>
      </c>
      <c r="B38" s="81"/>
      <c r="C38" s="82"/>
      <c r="D38" s="83"/>
      <c r="E38" s="84"/>
      <c r="F38" s="39" t="s">
        <v>19</v>
      </c>
      <c r="G38" s="40"/>
      <c r="H38" s="8" t="s">
        <v>19</v>
      </c>
      <c r="I38" s="8" t="s">
        <v>19</v>
      </c>
      <c r="J38" s="8" t="s">
        <v>19</v>
      </c>
      <c r="K38" s="12" t="s">
        <v>19</v>
      </c>
      <c r="L38" s="39" t="s">
        <v>19</v>
      </c>
      <c r="M38" s="40"/>
      <c r="N38" s="8" t="s">
        <v>19</v>
      </c>
      <c r="O38" s="8" t="s">
        <v>19</v>
      </c>
      <c r="P38" s="8" t="s">
        <v>19</v>
      </c>
      <c r="Q38" s="12" t="s">
        <v>19</v>
      </c>
      <c r="R38" s="39" t="s">
        <v>19</v>
      </c>
      <c r="S38" s="40"/>
      <c r="T38" s="8" t="s">
        <v>19</v>
      </c>
      <c r="U38" s="8" t="s">
        <v>19</v>
      </c>
      <c r="V38" s="41" t="s">
        <v>19</v>
      </c>
      <c r="W38" s="40"/>
      <c r="X38" s="41" t="s">
        <v>19</v>
      </c>
      <c r="Y38" s="75"/>
      <c r="Z38" s="39" t="s">
        <v>19</v>
      </c>
      <c r="AA38" s="40"/>
      <c r="AB38" s="8" t="s">
        <v>19</v>
      </c>
      <c r="AC38" s="8" t="s">
        <v>19</v>
      </c>
      <c r="AD38" s="8" t="s">
        <v>19</v>
      </c>
      <c r="AE38" s="12" t="s">
        <v>19</v>
      </c>
      <c r="AF38" s="13" t="s">
        <v>19</v>
      </c>
      <c r="AG38" s="41" t="s">
        <v>19</v>
      </c>
      <c r="AH38" s="40"/>
      <c r="AI38" s="8" t="s">
        <v>19</v>
      </c>
      <c r="AJ38" s="8" t="s">
        <v>19</v>
      </c>
      <c r="AK38" s="41" t="s">
        <v>19</v>
      </c>
      <c r="AL38" s="75"/>
      <c r="AM38" s="76">
        <f t="array" ref="AM38">SUM(COUNTIFS(F38, {"X","/\"}, F$6, "&lt;&gt;"), COUNTIFS(H38:L38, {"X","/\"}, H$6:L$6, "&lt;&gt;"), COUNTIFS(N38:R38, {"X","/\"}, N$6:R$6, "&lt;&gt;"), COUNTIFS(T38:V38, {"X","/\"}, T$6:V$6, "&lt;&gt;"), COUNTIFS(X38, {"X","/\"}, X$6, "&lt;&gt;"), COUNTIFS(Z38, {"X","/\"}, Z$6, "&lt;&gt;"), COUNTIFS(AB38:AG38, {"X","/\"}, AB$6:AG$6, "&lt;&gt;"), COUNTIFS(AI38:AK38, {"X","/\"}, AI$6:AK$6, "&lt;&gt;"))</f>
        <v>0</v>
      </c>
      <c r="AN38" s="77"/>
      <c r="AO38" s="76">
        <f t="array" ref="AO38">SUM(COUNTIFS(F38, {"","/","\"}, F$6, "&lt;&gt;"), COUNTIFS(H38:L38, {"","/","\"}, H$6:L$6, "&lt;&gt;"), COUNTIFS(N38:R38, {"","/","\"}, N$6:R$6, "&lt;&gt;"), COUNTIFS(T38:V38, {"","/","\"}, T$6:V$6, "&lt;&gt;"), COUNTIFS(X38, {"","/","\"}, X$6, "&lt;&gt;"), COUNTIFS(Z38, {"","/","\"}, Z$6, "&lt;&gt;"), COUNTIFS(AB38:AG38, {"","/","\"}, AB$6:AG$6, "&lt;&gt;"), COUNTIFS(AI38:AK38, {"","/","\"}, AI$6:AK$6, "&lt;&gt;"))</f>
        <v>0</v>
      </c>
      <c r="AP38" s="77"/>
      <c r="AQ38" s="78" t="s">
        <v>19</v>
      </c>
      <c r="AR38" s="79"/>
      <c r="AS38" s="79"/>
      <c r="AT38" s="79"/>
      <c r="AU38" s="77"/>
    </row>
    <row r="39" spans="1:47" ht="20" customHeight="1">
      <c r="A39" s="80">
        <v>15</v>
      </c>
      <c r="B39" s="81"/>
      <c r="C39" s="82"/>
      <c r="D39" s="83"/>
      <c r="E39" s="84"/>
      <c r="F39" s="39" t="s">
        <v>19</v>
      </c>
      <c r="G39" s="40"/>
      <c r="H39" s="8" t="s">
        <v>19</v>
      </c>
      <c r="I39" s="8" t="s">
        <v>19</v>
      </c>
      <c r="J39" s="8" t="s">
        <v>19</v>
      </c>
      <c r="K39" s="12" t="s">
        <v>19</v>
      </c>
      <c r="L39" s="39" t="s">
        <v>19</v>
      </c>
      <c r="M39" s="40"/>
      <c r="N39" s="8" t="s">
        <v>19</v>
      </c>
      <c r="O39" s="8" t="s">
        <v>19</v>
      </c>
      <c r="P39" s="8" t="s">
        <v>19</v>
      </c>
      <c r="Q39" s="12" t="s">
        <v>19</v>
      </c>
      <c r="R39" s="39" t="s">
        <v>19</v>
      </c>
      <c r="S39" s="40"/>
      <c r="T39" s="8" t="s">
        <v>19</v>
      </c>
      <c r="U39" s="8" t="s">
        <v>19</v>
      </c>
      <c r="V39" s="41" t="s">
        <v>19</v>
      </c>
      <c r="W39" s="40"/>
      <c r="X39" s="41" t="s">
        <v>19</v>
      </c>
      <c r="Y39" s="75"/>
      <c r="Z39" s="39" t="s">
        <v>19</v>
      </c>
      <c r="AA39" s="40"/>
      <c r="AB39" s="8" t="s">
        <v>19</v>
      </c>
      <c r="AC39" s="8" t="s">
        <v>19</v>
      </c>
      <c r="AD39" s="8" t="s">
        <v>19</v>
      </c>
      <c r="AE39" s="12" t="s">
        <v>19</v>
      </c>
      <c r="AF39" s="13" t="s">
        <v>19</v>
      </c>
      <c r="AG39" s="41" t="s">
        <v>19</v>
      </c>
      <c r="AH39" s="40"/>
      <c r="AI39" s="8" t="s">
        <v>19</v>
      </c>
      <c r="AJ39" s="8" t="s">
        <v>19</v>
      </c>
      <c r="AK39" s="41" t="s">
        <v>19</v>
      </c>
      <c r="AL39" s="75"/>
      <c r="AM39" s="76">
        <f t="array" ref="AM39">SUM(COUNTIFS(F39, {"X","/\"}, F$6, "&lt;&gt;"), COUNTIFS(H39:L39, {"X","/\"}, H$6:L$6, "&lt;&gt;"), COUNTIFS(N39:R39, {"X","/\"}, N$6:R$6, "&lt;&gt;"), COUNTIFS(T39:V39, {"X","/\"}, T$6:V$6, "&lt;&gt;"), COUNTIFS(X39, {"X","/\"}, X$6, "&lt;&gt;"), COUNTIFS(Z39, {"X","/\"}, Z$6, "&lt;&gt;"), COUNTIFS(AB39:AG39, {"X","/\"}, AB$6:AG$6, "&lt;&gt;"), COUNTIFS(AI39:AK39, {"X","/\"}, AI$6:AK$6, "&lt;&gt;"))</f>
        <v>0</v>
      </c>
      <c r="AN39" s="77"/>
      <c r="AO39" s="76">
        <f t="array" ref="AO39">SUM(COUNTIFS(F39, {"","/","\"}, F$6, "&lt;&gt;"), COUNTIFS(H39:L39, {"","/","\"}, H$6:L$6, "&lt;&gt;"), COUNTIFS(N39:R39, {"","/","\"}, N$6:R$6, "&lt;&gt;"), COUNTIFS(T39:V39, {"","/","\"}, T$6:V$6, "&lt;&gt;"), COUNTIFS(X39, {"","/","\"}, X$6, "&lt;&gt;"), COUNTIFS(Z39, {"","/","\"}, Z$6, "&lt;&gt;"), COUNTIFS(AB39:AG39, {"","/","\"}, AB$6:AG$6, "&lt;&gt;"), COUNTIFS(AI39:AK39, {"","/","\"}, AI$6:AK$6, "&lt;&gt;"))</f>
        <v>0</v>
      </c>
      <c r="AP39" s="77"/>
      <c r="AQ39" s="78" t="s">
        <v>19</v>
      </c>
      <c r="AR39" s="79"/>
      <c r="AS39" s="79"/>
      <c r="AT39" s="79"/>
      <c r="AU39" s="77"/>
    </row>
    <row r="40" spans="1:47" ht="20" customHeight="1">
      <c r="A40" s="80">
        <v>16</v>
      </c>
      <c r="B40" s="81"/>
      <c r="C40" s="82"/>
      <c r="D40" s="83"/>
      <c r="E40" s="84"/>
      <c r="F40" s="39" t="s">
        <v>19</v>
      </c>
      <c r="G40" s="40"/>
      <c r="H40" s="8" t="s">
        <v>19</v>
      </c>
      <c r="I40" s="8" t="s">
        <v>19</v>
      </c>
      <c r="J40" s="8" t="s">
        <v>19</v>
      </c>
      <c r="K40" s="12" t="s">
        <v>19</v>
      </c>
      <c r="L40" s="39" t="s">
        <v>19</v>
      </c>
      <c r="M40" s="40"/>
      <c r="N40" s="8" t="s">
        <v>19</v>
      </c>
      <c r="O40" s="8" t="s">
        <v>19</v>
      </c>
      <c r="P40" s="8" t="s">
        <v>19</v>
      </c>
      <c r="Q40" s="12" t="s">
        <v>19</v>
      </c>
      <c r="R40" s="39" t="s">
        <v>19</v>
      </c>
      <c r="S40" s="40"/>
      <c r="T40" s="8" t="s">
        <v>19</v>
      </c>
      <c r="U40" s="8" t="s">
        <v>19</v>
      </c>
      <c r="V40" s="41" t="s">
        <v>19</v>
      </c>
      <c r="W40" s="40"/>
      <c r="X40" s="41" t="s">
        <v>19</v>
      </c>
      <c r="Y40" s="75"/>
      <c r="Z40" s="39" t="s">
        <v>19</v>
      </c>
      <c r="AA40" s="40"/>
      <c r="AB40" s="8" t="s">
        <v>19</v>
      </c>
      <c r="AC40" s="8" t="s">
        <v>19</v>
      </c>
      <c r="AD40" s="8" t="s">
        <v>19</v>
      </c>
      <c r="AE40" s="12" t="s">
        <v>19</v>
      </c>
      <c r="AF40" s="13" t="s">
        <v>19</v>
      </c>
      <c r="AG40" s="41" t="s">
        <v>19</v>
      </c>
      <c r="AH40" s="40"/>
      <c r="AI40" s="8" t="s">
        <v>19</v>
      </c>
      <c r="AJ40" s="8" t="s">
        <v>19</v>
      </c>
      <c r="AK40" s="41" t="s">
        <v>19</v>
      </c>
      <c r="AL40" s="75"/>
      <c r="AM40" s="76">
        <f t="array" ref="AM40">SUM(COUNTIFS(F40, {"X","/\"}, F$6, "&lt;&gt;"), COUNTIFS(H40:L40, {"X","/\"}, H$6:L$6, "&lt;&gt;"), COUNTIFS(N40:R40, {"X","/\"}, N$6:R$6, "&lt;&gt;"), COUNTIFS(T40:V40, {"X","/\"}, T$6:V$6, "&lt;&gt;"), COUNTIFS(X40, {"X","/\"}, X$6, "&lt;&gt;"), COUNTIFS(Z40, {"X","/\"}, Z$6, "&lt;&gt;"), COUNTIFS(AB40:AG40, {"X","/\"}, AB$6:AG$6, "&lt;&gt;"), COUNTIFS(AI40:AK40, {"X","/\"}, AI$6:AK$6, "&lt;&gt;"))</f>
        <v>0</v>
      </c>
      <c r="AN40" s="77"/>
      <c r="AO40" s="76">
        <f t="array" ref="AO40">SUM(COUNTIFS(F40, {"","/","\"}, F$6, "&lt;&gt;"), COUNTIFS(H40:L40, {"","/","\"}, H$6:L$6, "&lt;&gt;"), COUNTIFS(N40:R40, {"","/","\"}, N$6:R$6, "&lt;&gt;"), COUNTIFS(T40:V40, {"","/","\"}, T$6:V$6, "&lt;&gt;"), COUNTIFS(X40, {"","/","\"}, X$6, "&lt;&gt;"), COUNTIFS(Z40, {"","/","\"}, Z$6, "&lt;&gt;"), COUNTIFS(AB40:AG40, {"","/","\"}, AB$6:AG$6, "&lt;&gt;"), COUNTIFS(AI40:AK40, {"","/","\"}, AI$6:AK$6, "&lt;&gt;"))</f>
        <v>0</v>
      </c>
      <c r="AP40" s="77"/>
      <c r="AQ40" s="78" t="s">
        <v>19</v>
      </c>
      <c r="AR40" s="79"/>
      <c r="AS40" s="79"/>
      <c r="AT40" s="79"/>
      <c r="AU40" s="77"/>
    </row>
    <row r="41" spans="1:47" ht="20" customHeight="1">
      <c r="A41" s="80">
        <v>17</v>
      </c>
      <c r="B41" s="81"/>
      <c r="C41" s="82"/>
      <c r="D41" s="83"/>
      <c r="E41" s="84"/>
      <c r="F41" s="39" t="s">
        <v>19</v>
      </c>
      <c r="G41" s="40"/>
      <c r="H41" s="8" t="s">
        <v>19</v>
      </c>
      <c r="I41" s="8" t="s">
        <v>19</v>
      </c>
      <c r="J41" s="8" t="s">
        <v>19</v>
      </c>
      <c r="K41" s="12" t="s">
        <v>19</v>
      </c>
      <c r="L41" s="39" t="s">
        <v>19</v>
      </c>
      <c r="M41" s="40"/>
      <c r="N41" s="8" t="s">
        <v>19</v>
      </c>
      <c r="O41" s="8" t="s">
        <v>19</v>
      </c>
      <c r="P41" s="8" t="s">
        <v>19</v>
      </c>
      <c r="Q41" s="12" t="s">
        <v>19</v>
      </c>
      <c r="R41" s="39" t="s">
        <v>19</v>
      </c>
      <c r="S41" s="40"/>
      <c r="T41" s="8" t="s">
        <v>19</v>
      </c>
      <c r="U41" s="8" t="s">
        <v>19</v>
      </c>
      <c r="V41" s="41" t="s">
        <v>19</v>
      </c>
      <c r="W41" s="40"/>
      <c r="X41" s="41" t="s">
        <v>19</v>
      </c>
      <c r="Y41" s="75"/>
      <c r="Z41" s="39" t="s">
        <v>19</v>
      </c>
      <c r="AA41" s="40"/>
      <c r="AB41" s="8" t="s">
        <v>19</v>
      </c>
      <c r="AC41" s="8" t="s">
        <v>19</v>
      </c>
      <c r="AD41" s="8" t="s">
        <v>19</v>
      </c>
      <c r="AE41" s="12" t="s">
        <v>19</v>
      </c>
      <c r="AF41" s="13" t="s">
        <v>19</v>
      </c>
      <c r="AG41" s="41" t="s">
        <v>19</v>
      </c>
      <c r="AH41" s="40"/>
      <c r="AI41" s="8" t="s">
        <v>19</v>
      </c>
      <c r="AJ41" s="8" t="s">
        <v>19</v>
      </c>
      <c r="AK41" s="41" t="s">
        <v>19</v>
      </c>
      <c r="AL41" s="75"/>
      <c r="AM41" s="76">
        <f t="array" ref="AM41">SUM(COUNTIFS(F41, {"X","/\"}, F$6, "&lt;&gt;"), COUNTIFS(H41:L41, {"X","/\"}, H$6:L$6, "&lt;&gt;"), COUNTIFS(N41:R41, {"X","/\"}, N$6:R$6, "&lt;&gt;"), COUNTIFS(T41:V41, {"X","/\"}, T$6:V$6, "&lt;&gt;"), COUNTIFS(X41, {"X","/\"}, X$6, "&lt;&gt;"), COUNTIFS(Z41, {"X","/\"}, Z$6, "&lt;&gt;"), COUNTIFS(AB41:AG41, {"X","/\"}, AB$6:AG$6, "&lt;&gt;"), COUNTIFS(AI41:AK41, {"X","/\"}, AI$6:AK$6, "&lt;&gt;"))</f>
        <v>0</v>
      </c>
      <c r="AN41" s="77"/>
      <c r="AO41" s="76">
        <f t="array" ref="AO41">SUM(COUNTIFS(F41, {"","/","\"}, F$6, "&lt;&gt;"), COUNTIFS(H41:L41, {"","/","\"}, H$6:L$6, "&lt;&gt;"), COUNTIFS(N41:R41, {"","/","\"}, N$6:R$6, "&lt;&gt;"), COUNTIFS(T41:V41, {"","/","\"}, T$6:V$6, "&lt;&gt;"), COUNTIFS(X41, {"","/","\"}, X$6, "&lt;&gt;"), COUNTIFS(Z41, {"","/","\"}, Z$6, "&lt;&gt;"), COUNTIFS(AB41:AG41, {"","/","\"}, AB$6:AG$6, "&lt;&gt;"), COUNTIFS(AI41:AK41, {"","/","\"}, AI$6:AK$6, "&lt;&gt;"))</f>
        <v>0</v>
      </c>
      <c r="AP41" s="77"/>
      <c r="AQ41" s="78" t="s">
        <v>19</v>
      </c>
      <c r="AR41" s="79"/>
      <c r="AS41" s="79"/>
      <c r="AT41" s="79"/>
      <c r="AU41" s="77"/>
    </row>
    <row r="42" spans="1:47" ht="20" customHeight="1">
      <c r="A42" s="80">
        <v>18</v>
      </c>
      <c r="B42" s="81"/>
      <c r="C42" s="82"/>
      <c r="D42" s="83"/>
      <c r="E42" s="84"/>
      <c r="F42" s="39" t="s">
        <v>19</v>
      </c>
      <c r="G42" s="40"/>
      <c r="H42" s="8" t="s">
        <v>19</v>
      </c>
      <c r="I42" s="8" t="s">
        <v>19</v>
      </c>
      <c r="J42" s="8" t="s">
        <v>19</v>
      </c>
      <c r="K42" s="12" t="s">
        <v>19</v>
      </c>
      <c r="L42" s="39" t="s">
        <v>19</v>
      </c>
      <c r="M42" s="40"/>
      <c r="N42" s="8" t="s">
        <v>19</v>
      </c>
      <c r="O42" s="8" t="s">
        <v>19</v>
      </c>
      <c r="P42" s="8" t="s">
        <v>19</v>
      </c>
      <c r="Q42" s="12" t="s">
        <v>19</v>
      </c>
      <c r="R42" s="39" t="s">
        <v>19</v>
      </c>
      <c r="S42" s="40"/>
      <c r="T42" s="8" t="s">
        <v>19</v>
      </c>
      <c r="U42" s="8" t="s">
        <v>19</v>
      </c>
      <c r="V42" s="41" t="s">
        <v>19</v>
      </c>
      <c r="W42" s="40"/>
      <c r="X42" s="41" t="s">
        <v>19</v>
      </c>
      <c r="Y42" s="75"/>
      <c r="Z42" s="39" t="s">
        <v>19</v>
      </c>
      <c r="AA42" s="40"/>
      <c r="AB42" s="8" t="s">
        <v>19</v>
      </c>
      <c r="AC42" s="8" t="s">
        <v>19</v>
      </c>
      <c r="AD42" s="8" t="s">
        <v>19</v>
      </c>
      <c r="AE42" s="12" t="s">
        <v>19</v>
      </c>
      <c r="AF42" s="13" t="s">
        <v>19</v>
      </c>
      <c r="AG42" s="41" t="s">
        <v>19</v>
      </c>
      <c r="AH42" s="40"/>
      <c r="AI42" s="8" t="s">
        <v>19</v>
      </c>
      <c r="AJ42" s="8" t="s">
        <v>19</v>
      </c>
      <c r="AK42" s="41" t="s">
        <v>19</v>
      </c>
      <c r="AL42" s="75"/>
      <c r="AM42" s="76">
        <f t="array" ref="AM42">SUM(COUNTIFS(F42, {"X","/\"}, F$6, "&lt;&gt;"), COUNTIFS(H42:L42, {"X","/\"}, H$6:L$6, "&lt;&gt;"), COUNTIFS(N42:R42, {"X","/\"}, N$6:R$6, "&lt;&gt;"), COUNTIFS(T42:V42, {"X","/\"}, T$6:V$6, "&lt;&gt;"), COUNTIFS(X42, {"X","/\"}, X$6, "&lt;&gt;"), COUNTIFS(Z42, {"X","/\"}, Z$6, "&lt;&gt;"), COUNTIFS(AB42:AG42, {"X","/\"}, AB$6:AG$6, "&lt;&gt;"), COUNTIFS(AI42:AK42, {"X","/\"}, AI$6:AK$6, "&lt;&gt;"))</f>
        <v>0</v>
      </c>
      <c r="AN42" s="77"/>
      <c r="AO42" s="76">
        <f t="array" ref="AO42">SUM(COUNTIFS(F42, {"","/","\"}, F$6, "&lt;&gt;"), COUNTIFS(H42:L42, {"","/","\"}, H$6:L$6, "&lt;&gt;"), COUNTIFS(N42:R42, {"","/","\"}, N$6:R$6, "&lt;&gt;"), COUNTIFS(T42:V42, {"","/","\"}, T$6:V$6, "&lt;&gt;"), COUNTIFS(X42, {"","/","\"}, X$6, "&lt;&gt;"), COUNTIFS(Z42, {"","/","\"}, Z$6, "&lt;&gt;"), COUNTIFS(AB42:AG42, {"","/","\"}, AB$6:AG$6, "&lt;&gt;"), COUNTIFS(AI42:AK42, {"","/","\"}, AI$6:AK$6, "&lt;&gt;"))</f>
        <v>0</v>
      </c>
      <c r="AP42" s="77"/>
      <c r="AQ42" s="78" t="s">
        <v>19</v>
      </c>
      <c r="AR42" s="79"/>
      <c r="AS42" s="79"/>
      <c r="AT42" s="79"/>
      <c r="AU42" s="77"/>
    </row>
    <row r="43" spans="1:47" ht="20" customHeight="1">
      <c r="A43" s="80">
        <v>19</v>
      </c>
      <c r="B43" s="81"/>
      <c r="C43" s="82"/>
      <c r="D43" s="83"/>
      <c r="E43" s="84"/>
      <c r="F43" s="39" t="s">
        <v>19</v>
      </c>
      <c r="G43" s="40"/>
      <c r="H43" s="8" t="s">
        <v>19</v>
      </c>
      <c r="I43" s="8" t="s">
        <v>19</v>
      </c>
      <c r="J43" s="8" t="s">
        <v>19</v>
      </c>
      <c r="K43" s="12" t="s">
        <v>19</v>
      </c>
      <c r="L43" s="39" t="s">
        <v>19</v>
      </c>
      <c r="M43" s="40"/>
      <c r="N43" s="8" t="s">
        <v>19</v>
      </c>
      <c r="O43" s="8" t="s">
        <v>19</v>
      </c>
      <c r="P43" s="8" t="s">
        <v>19</v>
      </c>
      <c r="Q43" s="12" t="s">
        <v>19</v>
      </c>
      <c r="R43" s="39" t="s">
        <v>19</v>
      </c>
      <c r="S43" s="40"/>
      <c r="T43" s="8" t="s">
        <v>19</v>
      </c>
      <c r="U43" s="8" t="s">
        <v>19</v>
      </c>
      <c r="V43" s="41" t="s">
        <v>19</v>
      </c>
      <c r="W43" s="40"/>
      <c r="X43" s="41" t="s">
        <v>19</v>
      </c>
      <c r="Y43" s="75"/>
      <c r="Z43" s="39" t="s">
        <v>19</v>
      </c>
      <c r="AA43" s="40"/>
      <c r="AB43" s="8" t="s">
        <v>19</v>
      </c>
      <c r="AC43" s="8" t="s">
        <v>19</v>
      </c>
      <c r="AD43" s="8" t="s">
        <v>19</v>
      </c>
      <c r="AE43" s="12" t="s">
        <v>19</v>
      </c>
      <c r="AF43" s="13" t="s">
        <v>19</v>
      </c>
      <c r="AG43" s="41" t="s">
        <v>19</v>
      </c>
      <c r="AH43" s="40"/>
      <c r="AI43" s="8" t="s">
        <v>19</v>
      </c>
      <c r="AJ43" s="8" t="s">
        <v>19</v>
      </c>
      <c r="AK43" s="41" t="s">
        <v>19</v>
      </c>
      <c r="AL43" s="75"/>
      <c r="AM43" s="76">
        <f t="array" ref="AM43">SUM(COUNTIFS(F43, {"X","/\"}, F$6, "&lt;&gt;"), COUNTIFS(H43:L43, {"X","/\"}, H$6:L$6, "&lt;&gt;"), COUNTIFS(N43:R43, {"X","/\"}, N$6:R$6, "&lt;&gt;"), COUNTIFS(T43:V43, {"X","/\"}, T$6:V$6, "&lt;&gt;"), COUNTIFS(X43, {"X","/\"}, X$6, "&lt;&gt;"), COUNTIFS(Z43, {"X","/\"}, Z$6, "&lt;&gt;"), COUNTIFS(AB43:AG43, {"X","/\"}, AB$6:AG$6, "&lt;&gt;"), COUNTIFS(AI43:AK43, {"X","/\"}, AI$6:AK$6, "&lt;&gt;"))</f>
        <v>0</v>
      </c>
      <c r="AN43" s="77"/>
      <c r="AO43" s="76">
        <f t="array" ref="AO43">SUM(COUNTIFS(F43, {"","/","\"}, F$6, "&lt;&gt;"), COUNTIFS(H43:L43, {"","/","\"}, H$6:L$6, "&lt;&gt;"), COUNTIFS(N43:R43, {"","/","\"}, N$6:R$6, "&lt;&gt;"), COUNTIFS(T43:V43, {"","/","\"}, T$6:V$6, "&lt;&gt;"), COUNTIFS(X43, {"","/","\"}, X$6, "&lt;&gt;"), COUNTIFS(Z43, {"","/","\"}, Z$6, "&lt;&gt;"), COUNTIFS(AB43:AG43, {"","/","\"}, AB$6:AG$6, "&lt;&gt;"), COUNTIFS(AI43:AK43, {"","/","\"}, AI$6:AK$6, "&lt;&gt;"))</f>
        <v>0</v>
      </c>
      <c r="AP43" s="77"/>
      <c r="AQ43" s="78" t="s">
        <v>19</v>
      </c>
      <c r="AR43" s="79"/>
      <c r="AS43" s="79"/>
      <c r="AT43" s="79"/>
      <c r="AU43" s="77"/>
    </row>
    <row r="44" spans="1:47" ht="20" customHeight="1">
      <c r="A44" s="80">
        <v>20</v>
      </c>
      <c r="B44" s="81"/>
      <c r="C44" s="82"/>
      <c r="D44" s="83"/>
      <c r="E44" s="84"/>
      <c r="F44" s="39" t="s">
        <v>19</v>
      </c>
      <c r="G44" s="40"/>
      <c r="H44" s="8" t="s">
        <v>19</v>
      </c>
      <c r="I44" s="8" t="s">
        <v>19</v>
      </c>
      <c r="J44" s="8" t="s">
        <v>19</v>
      </c>
      <c r="K44" s="12" t="s">
        <v>19</v>
      </c>
      <c r="L44" s="39" t="s">
        <v>19</v>
      </c>
      <c r="M44" s="40"/>
      <c r="N44" s="8" t="s">
        <v>19</v>
      </c>
      <c r="O44" s="8" t="s">
        <v>19</v>
      </c>
      <c r="P44" s="8" t="s">
        <v>19</v>
      </c>
      <c r="Q44" s="12" t="s">
        <v>19</v>
      </c>
      <c r="R44" s="39" t="s">
        <v>19</v>
      </c>
      <c r="S44" s="40"/>
      <c r="T44" s="8" t="s">
        <v>19</v>
      </c>
      <c r="U44" s="8" t="s">
        <v>19</v>
      </c>
      <c r="V44" s="41" t="s">
        <v>19</v>
      </c>
      <c r="W44" s="40"/>
      <c r="X44" s="41" t="s">
        <v>19</v>
      </c>
      <c r="Y44" s="75"/>
      <c r="Z44" s="39" t="s">
        <v>19</v>
      </c>
      <c r="AA44" s="40"/>
      <c r="AB44" s="8" t="s">
        <v>19</v>
      </c>
      <c r="AC44" s="8" t="s">
        <v>19</v>
      </c>
      <c r="AD44" s="8" t="s">
        <v>19</v>
      </c>
      <c r="AE44" s="12" t="s">
        <v>19</v>
      </c>
      <c r="AF44" s="13" t="s">
        <v>19</v>
      </c>
      <c r="AG44" s="41" t="s">
        <v>19</v>
      </c>
      <c r="AH44" s="40"/>
      <c r="AI44" s="8" t="s">
        <v>19</v>
      </c>
      <c r="AJ44" s="8" t="s">
        <v>19</v>
      </c>
      <c r="AK44" s="41" t="s">
        <v>19</v>
      </c>
      <c r="AL44" s="75"/>
      <c r="AM44" s="76">
        <f t="array" ref="AM44">SUM(COUNTIFS(F44, {"X","/\"}, F$6, "&lt;&gt;"), COUNTIFS(H44:L44, {"X","/\"}, H$6:L$6, "&lt;&gt;"), COUNTIFS(N44:R44, {"X","/\"}, N$6:R$6, "&lt;&gt;"), COUNTIFS(T44:V44, {"X","/\"}, T$6:V$6, "&lt;&gt;"), COUNTIFS(X44, {"X","/\"}, X$6, "&lt;&gt;"), COUNTIFS(Z44, {"X","/\"}, Z$6, "&lt;&gt;"), COUNTIFS(AB44:AG44, {"X","/\"}, AB$6:AG$6, "&lt;&gt;"), COUNTIFS(AI44:AK44, {"X","/\"}, AI$6:AK$6, "&lt;&gt;"))</f>
        <v>0</v>
      </c>
      <c r="AN44" s="77"/>
      <c r="AO44" s="76">
        <f t="array" ref="AO44">SUM(COUNTIFS(F44, {"","/","\"}, F$6, "&lt;&gt;"), COUNTIFS(H44:L44, {"","/","\"}, H$6:L$6, "&lt;&gt;"), COUNTIFS(N44:R44, {"","/","\"}, N$6:R$6, "&lt;&gt;"), COUNTIFS(T44:V44, {"","/","\"}, T$6:V$6, "&lt;&gt;"), COUNTIFS(X44, {"","/","\"}, X$6, "&lt;&gt;"), COUNTIFS(Z44, {"","/","\"}, Z$6, "&lt;&gt;"), COUNTIFS(AB44:AG44, {"","/","\"}, AB$6:AG$6, "&lt;&gt;"), COUNTIFS(AI44:AK44, {"","/","\"}, AI$6:AK$6, "&lt;&gt;"))</f>
        <v>0</v>
      </c>
      <c r="AP44" s="77"/>
      <c r="AQ44" s="78" t="s">
        <v>19</v>
      </c>
      <c r="AR44" s="79"/>
      <c r="AS44" s="79"/>
      <c r="AT44" s="79"/>
      <c r="AU44" s="77"/>
    </row>
    <row r="45" spans="1:47" ht="20" customHeight="1">
      <c r="A45" s="80">
        <v>21</v>
      </c>
      <c r="B45" s="81"/>
      <c r="C45" s="82"/>
      <c r="D45" s="83"/>
      <c r="E45" s="84"/>
      <c r="F45" s="39" t="s">
        <v>19</v>
      </c>
      <c r="G45" s="40"/>
      <c r="H45" s="8" t="s">
        <v>19</v>
      </c>
      <c r="I45" s="8" t="s">
        <v>19</v>
      </c>
      <c r="J45" s="8" t="s">
        <v>19</v>
      </c>
      <c r="K45" s="12" t="s">
        <v>19</v>
      </c>
      <c r="L45" s="39" t="s">
        <v>19</v>
      </c>
      <c r="M45" s="40"/>
      <c r="N45" s="8" t="s">
        <v>19</v>
      </c>
      <c r="O45" s="8" t="s">
        <v>19</v>
      </c>
      <c r="P45" s="8" t="s">
        <v>19</v>
      </c>
      <c r="Q45" s="12" t="s">
        <v>19</v>
      </c>
      <c r="R45" s="39" t="s">
        <v>19</v>
      </c>
      <c r="S45" s="40"/>
      <c r="T45" s="8" t="s">
        <v>19</v>
      </c>
      <c r="U45" s="8" t="s">
        <v>19</v>
      </c>
      <c r="V45" s="41" t="s">
        <v>19</v>
      </c>
      <c r="W45" s="40"/>
      <c r="X45" s="41" t="s">
        <v>19</v>
      </c>
      <c r="Y45" s="75"/>
      <c r="Z45" s="39" t="s">
        <v>19</v>
      </c>
      <c r="AA45" s="40"/>
      <c r="AB45" s="8" t="s">
        <v>19</v>
      </c>
      <c r="AC45" s="8" t="s">
        <v>19</v>
      </c>
      <c r="AD45" s="8" t="s">
        <v>19</v>
      </c>
      <c r="AE45" s="12" t="s">
        <v>19</v>
      </c>
      <c r="AF45" s="13" t="s">
        <v>19</v>
      </c>
      <c r="AG45" s="41" t="s">
        <v>19</v>
      </c>
      <c r="AH45" s="40"/>
      <c r="AI45" s="8" t="s">
        <v>19</v>
      </c>
      <c r="AJ45" s="8" t="s">
        <v>19</v>
      </c>
      <c r="AK45" s="41" t="s">
        <v>19</v>
      </c>
      <c r="AL45" s="75"/>
      <c r="AM45" s="76">
        <f t="array" ref="AM45">SUM(COUNTIFS(F45, {"X","/\"}, F$6, "&lt;&gt;"), COUNTIFS(H45:L45, {"X","/\"}, H$6:L$6, "&lt;&gt;"), COUNTIFS(N45:R45, {"X","/\"}, N$6:R$6, "&lt;&gt;"), COUNTIFS(T45:V45, {"X","/\"}, T$6:V$6, "&lt;&gt;"), COUNTIFS(X45, {"X","/\"}, X$6, "&lt;&gt;"), COUNTIFS(Z45, {"X","/\"}, Z$6, "&lt;&gt;"), COUNTIFS(AB45:AG45, {"X","/\"}, AB$6:AG$6, "&lt;&gt;"), COUNTIFS(AI45:AK45, {"X","/\"}, AI$6:AK$6, "&lt;&gt;"))</f>
        <v>0</v>
      </c>
      <c r="AN45" s="77"/>
      <c r="AO45" s="76">
        <f t="array" ref="AO45">SUM(COUNTIFS(F45, {"","/","\"}, F$6, "&lt;&gt;"), COUNTIFS(H45:L45, {"","/","\"}, H$6:L$6, "&lt;&gt;"), COUNTIFS(N45:R45, {"","/","\"}, N$6:R$6, "&lt;&gt;"), COUNTIFS(T45:V45, {"","/","\"}, T$6:V$6, "&lt;&gt;"), COUNTIFS(X45, {"","/","\"}, X$6, "&lt;&gt;"), COUNTIFS(Z45, {"","/","\"}, Z$6, "&lt;&gt;"), COUNTIFS(AB45:AG45, {"","/","\"}, AB$6:AG$6, "&lt;&gt;"), COUNTIFS(AI45:AK45, {"","/","\"}, AI$6:AK$6, "&lt;&gt;"))</f>
        <v>0</v>
      </c>
      <c r="AP45" s="77"/>
      <c r="AQ45" s="78" t="s">
        <v>19</v>
      </c>
      <c r="AR45" s="79"/>
      <c r="AS45" s="79"/>
      <c r="AT45" s="79"/>
      <c r="AU45" s="77"/>
    </row>
    <row r="46" spans="1:47" ht="20" customHeight="1">
      <c r="A46" s="80">
        <v>22</v>
      </c>
      <c r="B46" s="81"/>
      <c r="C46" s="82"/>
      <c r="D46" s="83"/>
      <c r="E46" s="84"/>
      <c r="F46" s="39" t="s">
        <v>19</v>
      </c>
      <c r="G46" s="40"/>
      <c r="H46" s="8" t="s">
        <v>19</v>
      </c>
      <c r="I46" s="8" t="s">
        <v>19</v>
      </c>
      <c r="J46" s="8" t="s">
        <v>19</v>
      </c>
      <c r="K46" s="12" t="s">
        <v>19</v>
      </c>
      <c r="L46" s="39" t="s">
        <v>19</v>
      </c>
      <c r="M46" s="40"/>
      <c r="N46" s="8" t="s">
        <v>19</v>
      </c>
      <c r="O46" s="8" t="s">
        <v>19</v>
      </c>
      <c r="P46" s="8" t="s">
        <v>19</v>
      </c>
      <c r="Q46" s="12" t="s">
        <v>19</v>
      </c>
      <c r="R46" s="39" t="s">
        <v>19</v>
      </c>
      <c r="S46" s="40"/>
      <c r="T46" s="8" t="s">
        <v>19</v>
      </c>
      <c r="U46" s="8" t="s">
        <v>19</v>
      </c>
      <c r="V46" s="41" t="s">
        <v>19</v>
      </c>
      <c r="W46" s="40"/>
      <c r="X46" s="41" t="s">
        <v>19</v>
      </c>
      <c r="Y46" s="75"/>
      <c r="Z46" s="39" t="s">
        <v>19</v>
      </c>
      <c r="AA46" s="40"/>
      <c r="AB46" s="8" t="s">
        <v>19</v>
      </c>
      <c r="AC46" s="8" t="s">
        <v>19</v>
      </c>
      <c r="AD46" s="8" t="s">
        <v>19</v>
      </c>
      <c r="AE46" s="12" t="s">
        <v>19</v>
      </c>
      <c r="AF46" s="13" t="s">
        <v>19</v>
      </c>
      <c r="AG46" s="41" t="s">
        <v>19</v>
      </c>
      <c r="AH46" s="40"/>
      <c r="AI46" s="8" t="s">
        <v>19</v>
      </c>
      <c r="AJ46" s="8" t="s">
        <v>19</v>
      </c>
      <c r="AK46" s="41" t="s">
        <v>19</v>
      </c>
      <c r="AL46" s="75"/>
      <c r="AM46" s="76">
        <f t="array" ref="AM46">SUM(COUNTIFS(F46, {"X","/\"}, F$6, "&lt;&gt;"), COUNTIFS(H46:L46, {"X","/\"}, H$6:L$6, "&lt;&gt;"), COUNTIFS(N46:R46, {"X","/\"}, N$6:R$6, "&lt;&gt;"), COUNTIFS(T46:V46, {"X","/\"}, T$6:V$6, "&lt;&gt;"), COUNTIFS(X46, {"X","/\"}, X$6, "&lt;&gt;"), COUNTIFS(Z46, {"X","/\"}, Z$6, "&lt;&gt;"), COUNTIFS(AB46:AG46, {"X","/\"}, AB$6:AG$6, "&lt;&gt;"), COUNTIFS(AI46:AK46, {"X","/\"}, AI$6:AK$6, "&lt;&gt;"))</f>
        <v>0</v>
      </c>
      <c r="AN46" s="77"/>
      <c r="AO46" s="76">
        <f t="array" ref="AO46">SUM(COUNTIFS(F46, {"","/","\"}, F$6, "&lt;&gt;"), COUNTIFS(H46:L46, {"","/","\"}, H$6:L$6, "&lt;&gt;"), COUNTIFS(N46:R46, {"","/","\"}, N$6:R$6, "&lt;&gt;"), COUNTIFS(T46:V46, {"","/","\"}, T$6:V$6, "&lt;&gt;"), COUNTIFS(X46, {"","/","\"}, X$6, "&lt;&gt;"), COUNTIFS(Z46, {"","/","\"}, Z$6, "&lt;&gt;"), COUNTIFS(AB46:AG46, {"","/","\"}, AB$6:AG$6, "&lt;&gt;"), COUNTIFS(AI46:AK46, {"","/","\"}, AI$6:AK$6, "&lt;&gt;"))</f>
        <v>0</v>
      </c>
      <c r="AP46" s="77"/>
      <c r="AQ46" s="78" t="s">
        <v>19</v>
      </c>
      <c r="AR46" s="79"/>
      <c r="AS46" s="79"/>
      <c r="AT46" s="79"/>
      <c r="AU46" s="77"/>
    </row>
    <row r="47" spans="1:47" ht="20" customHeight="1">
      <c r="A47" s="80">
        <v>23</v>
      </c>
      <c r="B47" s="81"/>
      <c r="C47" s="82"/>
      <c r="D47" s="83"/>
      <c r="E47" s="84"/>
      <c r="F47" s="39" t="s">
        <v>19</v>
      </c>
      <c r="G47" s="40"/>
      <c r="H47" s="8" t="s">
        <v>19</v>
      </c>
      <c r="I47" s="8" t="s">
        <v>19</v>
      </c>
      <c r="J47" s="8" t="s">
        <v>19</v>
      </c>
      <c r="K47" s="12" t="s">
        <v>19</v>
      </c>
      <c r="L47" s="39" t="s">
        <v>19</v>
      </c>
      <c r="M47" s="40"/>
      <c r="N47" s="8" t="s">
        <v>19</v>
      </c>
      <c r="O47" s="8" t="s">
        <v>19</v>
      </c>
      <c r="P47" s="8" t="s">
        <v>19</v>
      </c>
      <c r="Q47" s="12" t="s">
        <v>19</v>
      </c>
      <c r="R47" s="39" t="s">
        <v>19</v>
      </c>
      <c r="S47" s="40"/>
      <c r="T47" s="8" t="s">
        <v>19</v>
      </c>
      <c r="U47" s="8" t="s">
        <v>19</v>
      </c>
      <c r="V47" s="41" t="s">
        <v>19</v>
      </c>
      <c r="W47" s="40"/>
      <c r="X47" s="41" t="s">
        <v>19</v>
      </c>
      <c r="Y47" s="75"/>
      <c r="Z47" s="39" t="s">
        <v>19</v>
      </c>
      <c r="AA47" s="40"/>
      <c r="AB47" s="8" t="s">
        <v>19</v>
      </c>
      <c r="AC47" s="8" t="s">
        <v>19</v>
      </c>
      <c r="AD47" s="8" t="s">
        <v>19</v>
      </c>
      <c r="AE47" s="12" t="s">
        <v>19</v>
      </c>
      <c r="AF47" s="13" t="s">
        <v>19</v>
      </c>
      <c r="AG47" s="41" t="s">
        <v>19</v>
      </c>
      <c r="AH47" s="40"/>
      <c r="AI47" s="8" t="s">
        <v>19</v>
      </c>
      <c r="AJ47" s="8" t="s">
        <v>19</v>
      </c>
      <c r="AK47" s="41" t="s">
        <v>19</v>
      </c>
      <c r="AL47" s="75"/>
      <c r="AM47" s="76">
        <f t="array" ref="AM47">SUM(COUNTIFS(F47, {"X","/\"}, F$6, "&lt;&gt;"), COUNTIFS(H47:L47, {"X","/\"}, H$6:L$6, "&lt;&gt;"), COUNTIFS(N47:R47, {"X","/\"}, N$6:R$6, "&lt;&gt;"), COUNTIFS(T47:V47, {"X","/\"}, T$6:V$6, "&lt;&gt;"), COUNTIFS(X47, {"X","/\"}, X$6, "&lt;&gt;"), COUNTIFS(Z47, {"X","/\"}, Z$6, "&lt;&gt;"), COUNTIFS(AB47:AG47, {"X","/\"}, AB$6:AG$6, "&lt;&gt;"), COUNTIFS(AI47:AK47, {"X","/\"}, AI$6:AK$6, "&lt;&gt;"))</f>
        <v>0</v>
      </c>
      <c r="AN47" s="77"/>
      <c r="AO47" s="76">
        <f t="array" ref="AO47">SUM(COUNTIFS(F47, {"","/","\"}, F$6, "&lt;&gt;"), COUNTIFS(H47:L47, {"","/","\"}, H$6:L$6, "&lt;&gt;"), COUNTIFS(N47:R47, {"","/","\"}, N$6:R$6, "&lt;&gt;"), COUNTIFS(T47:V47, {"","/","\"}, T$6:V$6, "&lt;&gt;"), COUNTIFS(X47, {"","/","\"}, X$6, "&lt;&gt;"), COUNTIFS(Z47, {"","/","\"}, Z$6, "&lt;&gt;"), COUNTIFS(AB47:AG47, {"","/","\"}, AB$6:AG$6, "&lt;&gt;"), COUNTIFS(AI47:AK47, {"","/","\"}, AI$6:AK$6, "&lt;&gt;"))</f>
        <v>0</v>
      </c>
      <c r="AP47" s="77"/>
      <c r="AQ47" s="78" t="s">
        <v>19</v>
      </c>
      <c r="AR47" s="79"/>
      <c r="AS47" s="79"/>
      <c r="AT47" s="79"/>
      <c r="AU47" s="77"/>
    </row>
    <row r="48" spans="1:47" ht="20" customHeight="1">
      <c r="A48" s="80">
        <v>24</v>
      </c>
      <c r="B48" s="81"/>
      <c r="C48" s="82"/>
      <c r="D48" s="83"/>
      <c r="E48" s="84"/>
      <c r="F48" s="39" t="s">
        <v>19</v>
      </c>
      <c r="G48" s="40"/>
      <c r="H48" s="8" t="s">
        <v>19</v>
      </c>
      <c r="I48" s="8" t="s">
        <v>19</v>
      </c>
      <c r="J48" s="8" t="s">
        <v>19</v>
      </c>
      <c r="K48" s="12" t="s">
        <v>19</v>
      </c>
      <c r="L48" s="39" t="s">
        <v>19</v>
      </c>
      <c r="M48" s="40"/>
      <c r="N48" s="8" t="s">
        <v>19</v>
      </c>
      <c r="O48" s="8" t="s">
        <v>19</v>
      </c>
      <c r="P48" s="8" t="s">
        <v>19</v>
      </c>
      <c r="Q48" s="12" t="s">
        <v>19</v>
      </c>
      <c r="R48" s="39" t="s">
        <v>19</v>
      </c>
      <c r="S48" s="40"/>
      <c r="T48" s="8" t="s">
        <v>19</v>
      </c>
      <c r="U48" s="8" t="s">
        <v>19</v>
      </c>
      <c r="V48" s="41" t="s">
        <v>19</v>
      </c>
      <c r="W48" s="40"/>
      <c r="X48" s="41" t="s">
        <v>19</v>
      </c>
      <c r="Y48" s="75"/>
      <c r="Z48" s="39" t="s">
        <v>19</v>
      </c>
      <c r="AA48" s="40"/>
      <c r="AB48" s="8" t="s">
        <v>19</v>
      </c>
      <c r="AC48" s="8" t="s">
        <v>19</v>
      </c>
      <c r="AD48" s="8" t="s">
        <v>19</v>
      </c>
      <c r="AE48" s="12" t="s">
        <v>19</v>
      </c>
      <c r="AF48" s="13" t="s">
        <v>19</v>
      </c>
      <c r="AG48" s="41" t="s">
        <v>19</v>
      </c>
      <c r="AH48" s="40"/>
      <c r="AI48" s="8" t="s">
        <v>19</v>
      </c>
      <c r="AJ48" s="8" t="s">
        <v>19</v>
      </c>
      <c r="AK48" s="41" t="s">
        <v>19</v>
      </c>
      <c r="AL48" s="75"/>
      <c r="AM48" s="76">
        <f t="array" ref="AM48">SUM(COUNTIFS(F48, {"X","/\"}, F$6, "&lt;&gt;"), COUNTIFS(H48:L48, {"X","/\"}, H$6:L$6, "&lt;&gt;"), COUNTIFS(N48:R48, {"X","/\"}, N$6:R$6, "&lt;&gt;"), COUNTIFS(T48:V48, {"X","/\"}, T$6:V$6, "&lt;&gt;"), COUNTIFS(X48, {"X","/\"}, X$6, "&lt;&gt;"), COUNTIFS(Z48, {"X","/\"}, Z$6, "&lt;&gt;"), COUNTIFS(AB48:AG48, {"X","/\"}, AB$6:AG$6, "&lt;&gt;"), COUNTIFS(AI48:AK48, {"X","/\"}, AI$6:AK$6, "&lt;&gt;"))</f>
        <v>0</v>
      </c>
      <c r="AN48" s="77"/>
      <c r="AO48" s="76">
        <f t="array" ref="AO48">SUM(COUNTIFS(F48, {"","/","\"}, F$6, "&lt;&gt;"), COUNTIFS(H48:L48, {"","/","\"}, H$6:L$6, "&lt;&gt;"), COUNTIFS(N48:R48, {"","/","\"}, N$6:R$6, "&lt;&gt;"), COUNTIFS(T48:V48, {"","/","\"}, T$6:V$6, "&lt;&gt;"), COUNTIFS(X48, {"","/","\"}, X$6, "&lt;&gt;"), COUNTIFS(Z48, {"","/","\"}, Z$6, "&lt;&gt;"), COUNTIFS(AB48:AG48, {"","/","\"}, AB$6:AG$6, "&lt;&gt;"), COUNTIFS(AI48:AK48, {"","/","\"}, AI$6:AK$6, "&lt;&gt;"))</f>
        <v>0</v>
      </c>
      <c r="AP48" s="77"/>
      <c r="AQ48" s="78" t="s">
        <v>19</v>
      </c>
      <c r="AR48" s="79"/>
      <c r="AS48" s="79"/>
      <c r="AT48" s="79"/>
      <c r="AU48" s="77"/>
    </row>
    <row r="49" spans="1:47" ht="20" customHeight="1">
      <c r="A49" s="80">
        <v>25</v>
      </c>
      <c r="B49" s="81"/>
      <c r="C49" s="82"/>
      <c r="D49" s="83"/>
      <c r="E49" s="84"/>
      <c r="F49" s="39" t="s">
        <v>19</v>
      </c>
      <c r="G49" s="40"/>
      <c r="H49" s="8" t="s">
        <v>19</v>
      </c>
      <c r="I49" s="8" t="s">
        <v>19</v>
      </c>
      <c r="J49" s="8" t="s">
        <v>19</v>
      </c>
      <c r="K49" s="12" t="s">
        <v>19</v>
      </c>
      <c r="L49" s="39" t="s">
        <v>19</v>
      </c>
      <c r="M49" s="40"/>
      <c r="N49" s="8" t="s">
        <v>19</v>
      </c>
      <c r="O49" s="8" t="s">
        <v>19</v>
      </c>
      <c r="P49" s="8" t="s">
        <v>19</v>
      </c>
      <c r="Q49" s="12" t="s">
        <v>19</v>
      </c>
      <c r="R49" s="39" t="s">
        <v>19</v>
      </c>
      <c r="S49" s="40"/>
      <c r="T49" s="8" t="s">
        <v>19</v>
      </c>
      <c r="U49" s="8" t="s">
        <v>19</v>
      </c>
      <c r="V49" s="41" t="s">
        <v>19</v>
      </c>
      <c r="W49" s="40"/>
      <c r="X49" s="41" t="s">
        <v>19</v>
      </c>
      <c r="Y49" s="75"/>
      <c r="Z49" s="39" t="s">
        <v>19</v>
      </c>
      <c r="AA49" s="40"/>
      <c r="AB49" s="8" t="s">
        <v>19</v>
      </c>
      <c r="AC49" s="8" t="s">
        <v>19</v>
      </c>
      <c r="AD49" s="8" t="s">
        <v>19</v>
      </c>
      <c r="AE49" s="12" t="s">
        <v>19</v>
      </c>
      <c r="AF49" s="13" t="s">
        <v>19</v>
      </c>
      <c r="AG49" s="41" t="s">
        <v>19</v>
      </c>
      <c r="AH49" s="40"/>
      <c r="AI49" s="8" t="s">
        <v>19</v>
      </c>
      <c r="AJ49" s="8" t="s">
        <v>19</v>
      </c>
      <c r="AK49" s="41" t="s">
        <v>19</v>
      </c>
      <c r="AL49" s="75"/>
      <c r="AM49" s="76">
        <f t="array" ref="AM49">SUM(COUNTIFS(F49, {"X","/\"}, F$6, "&lt;&gt;"), COUNTIFS(H49:L49, {"X","/\"}, H$6:L$6, "&lt;&gt;"), COUNTIFS(N49:R49, {"X","/\"}, N$6:R$6, "&lt;&gt;"), COUNTIFS(T49:V49, {"X","/\"}, T$6:V$6, "&lt;&gt;"), COUNTIFS(X49, {"X","/\"}, X$6, "&lt;&gt;"), COUNTIFS(Z49, {"X","/\"}, Z$6, "&lt;&gt;"), COUNTIFS(AB49:AG49, {"X","/\"}, AB$6:AG$6, "&lt;&gt;"), COUNTIFS(AI49:AK49, {"X","/\"}, AI$6:AK$6, "&lt;&gt;"))</f>
        <v>0</v>
      </c>
      <c r="AN49" s="77"/>
      <c r="AO49" s="76">
        <f t="array" ref="AO49">SUM(COUNTIFS(F49, {"","/","\"}, F$6, "&lt;&gt;"), COUNTIFS(H49:L49, {"","/","\"}, H$6:L$6, "&lt;&gt;"), COUNTIFS(N49:R49, {"","/","\"}, N$6:R$6, "&lt;&gt;"), COUNTIFS(T49:V49, {"","/","\"}, T$6:V$6, "&lt;&gt;"), COUNTIFS(X49, {"","/","\"}, X$6, "&lt;&gt;"), COUNTIFS(Z49, {"","/","\"}, Z$6, "&lt;&gt;"), COUNTIFS(AB49:AG49, {"","/","\"}, AB$6:AG$6, "&lt;&gt;"), COUNTIFS(AI49:AK49, {"","/","\"}, AI$6:AK$6, "&lt;&gt;"))</f>
        <v>0</v>
      </c>
      <c r="AP49" s="77"/>
      <c r="AQ49" s="78" t="s">
        <v>19</v>
      </c>
      <c r="AR49" s="79"/>
      <c r="AS49" s="79"/>
      <c r="AT49" s="79"/>
      <c r="AU49" s="77"/>
    </row>
    <row r="50" spans="1:47" ht="20" customHeight="1">
      <c r="A50" s="80">
        <v>26</v>
      </c>
      <c r="B50" s="81"/>
      <c r="C50" s="82"/>
      <c r="D50" s="83"/>
      <c r="E50" s="84"/>
      <c r="F50" s="92"/>
      <c r="G50" s="93"/>
      <c r="H50" s="15" t="s">
        <v>19</v>
      </c>
      <c r="I50" s="15" t="s">
        <v>19</v>
      </c>
      <c r="J50" s="15" t="s">
        <v>19</v>
      </c>
      <c r="K50" s="18" t="s">
        <v>19</v>
      </c>
      <c r="L50" s="92" t="s">
        <v>19</v>
      </c>
      <c r="M50" s="93"/>
      <c r="N50" s="15" t="s">
        <v>19</v>
      </c>
      <c r="O50" s="15" t="s">
        <v>19</v>
      </c>
      <c r="P50" s="15" t="s">
        <v>19</v>
      </c>
      <c r="Q50" s="18" t="s">
        <v>19</v>
      </c>
      <c r="R50" s="92" t="s">
        <v>19</v>
      </c>
      <c r="S50" s="93"/>
      <c r="T50" s="15" t="s">
        <v>19</v>
      </c>
      <c r="U50" s="15" t="s">
        <v>19</v>
      </c>
      <c r="V50" s="96" t="s">
        <v>19</v>
      </c>
      <c r="W50" s="93"/>
      <c r="X50" s="96" t="s">
        <v>19</v>
      </c>
      <c r="Y50" s="97"/>
      <c r="Z50" s="92" t="s">
        <v>19</v>
      </c>
      <c r="AA50" s="93"/>
      <c r="AB50" s="15" t="s">
        <v>19</v>
      </c>
      <c r="AC50" s="15" t="s">
        <v>19</v>
      </c>
      <c r="AD50" s="15" t="s">
        <v>19</v>
      </c>
      <c r="AE50" s="18" t="s">
        <v>19</v>
      </c>
      <c r="AF50" s="19" t="s">
        <v>19</v>
      </c>
      <c r="AG50" s="96" t="s">
        <v>19</v>
      </c>
      <c r="AH50" s="93"/>
      <c r="AI50" s="15" t="s">
        <v>19</v>
      </c>
      <c r="AJ50" s="15" t="s">
        <v>19</v>
      </c>
      <c r="AK50" s="96" t="s">
        <v>19</v>
      </c>
      <c r="AL50" s="97"/>
      <c r="AM50" s="76">
        <f t="array" ref="AM50">SUM(COUNTIFS(F50, {"X","/\"}, F$6, "&lt;&gt;"), COUNTIFS(H50:L50, {"X","/\"}, H$6:L$6, "&lt;&gt;"), COUNTIFS(N50:R50, {"X","/\"}, N$6:R$6, "&lt;&gt;"), COUNTIFS(T50:V50, {"X","/\"}, T$6:V$6, "&lt;&gt;"), COUNTIFS(X50, {"X","/\"}, X$6, "&lt;&gt;"), COUNTIFS(Z50, {"X","/\"}, Z$6, "&lt;&gt;"), COUNTIFS(AB50:AG50, {"X","/\"}, AB$6:AG$6, "&lt;&gt;"), COUNTIFS(AI50:AK50, {"X","/\"}, AI$6:AK$6, "&lt;&gt;"))</f>
        <v>0</v>
      </c>
      <c r="AN50" s="77"/>
      <c r="AO50" s="76">
        <f t="array" ref="AO50">SUM(COUNTIFS(F50, {"","/","\"}, F$6, "&lt;&gt;"), COUNTIFS(H50:L50, {"","/","\"}, H$6:L$6, "&lt;&gt;"), COUNTIFS(N50:R50, {"","/","\"}, N$6:R$6, "&lt;&gt;"), COUNTIFS(T50:V50, {"","/","\"}, T$6:V$6, "&lt;&gt;"), COUNTIFS(X50, {"","/","\"}, X$6, "&lt;&gt;"), COUNTIFS(Z50, {"","/","\"}, Z$6, "&lt;&gt;"), COUNTIFS(AB50:AG50, {"","/","\"}, AB$6:AG$6, "&lt;&gt;"), COUNTIFS(AI50:AK50, {"","/","\"}, AI$6:AK$6, "&lt;&gt;"))</f>
        <v>0</v>
      </c>
      <c r="AP50" s="77"/>
      <c r="AQ50" s="98" t="s">
        <v>19</v>
      </c>
      <c r="AR50" s="99"/>
      <c r="AS50" s="99"/>
      <c r="AT50" s="99"/>
      <c r="AU50" s="100"/>
    </row>
    <row r="51" spans="1:47" ht="20" customHeight="1">
      <c r="A51" s="114">
        <f>COUNTA(C25:C50)</f>
        <v>0</v>
      </c>
      <c r="B51" s="115"/>
      <c r="C51" s="116" t="s">
        <v>21</v>
      </c>
      <c r="D51" s="117"/>
      <c r="E51" s="117"/>
      <c r="F51" s="121" t="str">
        <f t="array" ref="F51">IF(F$6="", "", SUM(COUNTIFS($C$25:$C$50, "&lt;&gt;", F$25:F$50, {"","/","\"})))</f>
        <v/>
      </c>
      <c r="G51" s="122"/>
      <c r="H51" s="20" t="str">
        <f t="array" ref="H51">IF(H$6="", "", SUM(COUNTIFS($C$25:$C$50, "&lt;&gt;", H$25:H$50, {"","/","\"})))</f>
        <v/>
      </c>
      <c r="I51" s="20" t="str">
        <f t="array" ref="I51">IF(I$6="", "", SUM(COUNTIFS($C$25:$C$50, "&lt;&gt;", I$25:I$50, {"","/","\"})))</f>
        <v/>
      </c>
      <c r="J51" s="20" t="str">
        <f t="array" ref="J51">IF(J$6="", "", SUM(COUNTIFS($C$25:$C$50, "&lt;&gt;", J$25:J$50, {"","/","\"})))</f>
        <v/>
      </c>
      <c r="K51" s="22" t="str">
        <f t="array" ref="K51">IF(K$6="", "", SUM(COUNTIFS($C$25:$C$50, "&lt;&gt;", K$25:K$50, {"","/","\"})))</f>
        <v/>
      </c>
      <c r="L51" s="91" t="str">
        <f t="array" ref="L51">IF(L$6="", "", SUM(COUNTIFS($C$25:$C$50, "&lt;&gt;", L$25:L$50, {"","/","\"})))</f>
        <v/>
      </c>
      <c r="M51" s="122"/>
      <c r="N51" s="20" t="str">
        <f t="array" ref="N51">IF(N$6="", "", SUM(COUNTIFS($C$25:$C$50, "&lt;&gt;", N$25:N$50, {"","/","\"})))</f>
        <v/>
      </c>
      <c r="O51" s="20" t="str">
        <f t="array" ref="O51">IF(O$6="", "", SUM(COUNTIFS($C$25:$C$50, "&lt;&gt;", O$25:O$50, {"","/","\"})))</f>
        <v/>
      </c>
      <c r="P51" s="20" t="str">
        <f t="array" ref="P51">IF(P$6="", "", SUM(COUNTIFS($C$25:$C$50, "&lt;&gt;", P$25:P$50, {"","/","\"})))</f>
        <v/>
      </c>
      <c r="Q51" s="22" t="str">
        <f t="array" ref="Q51">IF(Q$6="", "", SUM(COUNTIFS($C$25:$C$50, "&lt;&gt;", Q$25:Q$50, {"","/","\"})))</f>
        <v/>
      </c>
      <c r="R51" s="91" t="str">
        <f t="array" ref="R51">IF(R$6="", "", SUM(COUNTIFS($C$25:$C$50, "&lt;&gt;", R$25:R$50, {"","/","\"})))</f>
        <v/>
      </c>
      <c r="S51" s="122"/>
      <c r="T51" s="20" t="str">
        <f t="array" ref="T51">IF(T$6="", "", SUM(COUNTIFS($C$25:$C$50, "&lt;&gt;", T$25:T$50, {"","/","\"})))</f>
        <v/>
      </c>
      <c r="U51" s="20" t="str">
        <f t="array" ref="U51">IF(U$6="", "", SUM(COUNTIFS($C$25:$C$50, "&lt;&gt;", U$25:U$50, {"","/","\"})))</f>
        <v/>
      </c>
      <c r="V51" s="91" t="str">
        <f t="array" ref="V51">IF(V$6="", "", SUM(COUNTIFS($C$25:$C$50, "&lt;&gt;", V$25:V$50, {"","/","\"})))</f>
        <v/>
      </c>
      <c r="W51" s="122"/>
      <c r="X51" s="91" t="str">
        <f t="array" ref="X51">IF(X$6="", "", SUM(COUNTIFS($C$25:$C$50, "&lt;&gt;", X$25:X$50, {"","/","\"})))</f>
        <v/>
      </c>
      <c r="Y51" s="123"/>
      <c r="Z51" s="91" t="str">
        <f t="array" ref="Z51">IF(Z$6="", "", SUM(COUNTIFS($C$25:$C$50, "&lt;&gt;", Z$25:Z$50, {"","/","\"})))</f>
        <v/>
      </c>
      <c r="AA51" s="122"/>
      <c r="AB51" s="20" t="str">
        <f t="array" ref="AB51">IF(AB$6="", "", SUM(COUNTIFS($C$25:$C$50, "&lt;&gt;", AB$25:AB$50, {"","/","\"})))</f>
        <v/>
      </c>
      <c r="AC51" s="20" t="str">
        <f t="array" ref="AC51">IF(AC$6="", "", SUM(COUNTIFS($C$25:$C$50, "&lt;&gt;", AC$25:AC$50, {"","/","\"})))</f>
        <v/>
      </c>
      <c r="AD51" s="20" t="str">
        <f t="array" ref="AD51">IF(AD$6="", "", SUM(COUNTIFS($C$25:$C$50, "&lt;&gt;", AD$25:AD$50, {"","/","\"})))</f>
        <v/>
      </c>
      <c r="AE51" s="22" t="str">
        <f t="array" ref="AE51">IF(AE$6="", "", SUM(COUNTIFS($C$25:$C$50, "&lt;&gt;", AE$25:AE$50, {"","/","\"})))</f>
        <v/>
      </c>
      <c r="AF51" s="20" t="str">
        <f t="array" ref="AF51">IF(AF$6="", "", SUM(COUNTIFS($C$25:$C$50, "&lt;&gt;", AF$25:AF$50, {"","/","\"})))</f>
        <v/>
      </c>
      <c r="AG51" s="91" t="str">
        <f t="array" ref="AG51">IF(AG$6="", "", SUM(COUNTIFS($C$25:$C$50, "&lt;&gt;", AG$25:AG$50, {"","/","\"})))</f>
        <v/>
      </c>
      <c r="AH51" s="122"/>
      <c r="AI51" s="20" t="str">
        <f t="array" ref="AI51">IF(AI$6="", "", SUM(COUNTIFS($C$25:$C$50, "&lt;&gt;", AI$25:AI$50, {"","/","\"})))</f>
        <v/>
      </c>
      <c r="AJ51" s="20" t="str">
        <f t="array" ref="AJ51">IF(AJ$6="", "", SUM(COUNTIFS($C$25:$C$50, "&lt;&gt;", AJ$25:AJ$50, {"","/","\"})))</f>
        <v/>
      </c>
      <c r="AK51" s="91" t="str">
        <f t="array" ref="AK51">IF(AK$6="", "", SUM(COUNTIFS($C$25:$C$50, "&lt;&gt;", AK$25:AK$50, {"","/","\"})))</f>
        <v/>
      </c>
      <c r="AL51" s="123"/>
      <c r="AM51" s="102">
        <f>SUM(AM25:AN50)</f>
        <v>0</v>
      </c>
      <c r="AN51" s="103"/>
      <c r="AO51" s="102">
        <f>SUM(AO25:AP50)</f>
        <v>0</v>
      </c>
      <c r="AP51" s="103"/>
      <c r="AQ51" s="102" t="s">
        <v>19</v>
      </c>
      <c r="AR51" s="104"/>
      <c r="AS51" s="104"/>
      <c r="AT51" s="104"/>
      <c r="AU51" s="105"/>
    </row>
    <row r="52" spans="1:47" ht="20" customHeight="1" thickBot="1">
      <c r="A52" s="114">
        <f>A24+A51</f>
        <v>0</v>
      </c>
      <c r="B52" s="115"/>
      <c r="C52" s="168" t="s">
        <v>22</v>
      </c>
      <c r="D52" s="169"/>
      <c r="E52" s="170"/>
      <c r="F52" s="124" t="str">
        <f>IF(COUNT(F24, F51)=0, "", SUM(F24, F51))</f>
        <v/>
      </c>
      <c r="G52" s="125"/>
      <c r="H52" s="26" t="str">
        <f>IF(COUNT(H24, H51)=0, "", SUM(H24, H51))</f>
        <v/>
      </c>
      <c r="I52" s="26" t="str">
        <f>IF(COUNT(I24, I51)=0, "", SUM(I24, I51))</f>
        <v/>
      </c>
      <c r="J52" s="26" t="str">
        <f>IF(COUNT(J24, J51)=0, "", SUM(J24, J51))</f>
        <v/>
      </c>
      <c r="K52" s="27" t="str">
        <f>IF(COUNT(K24, K51)=0, "", SUM(K24, K51))</f>
        <v/>
      </c>
      <c r="L52" s="126" t="str">
        <f t="shared" ref="L52:M52" si="0">IF(COUNT(L24, L51)=0, "", SUM(L24, L51))</f>
        <v/>
      </c>
      <c r="M52" s="125" t="str">
        <f t="shared" si="0"/>
        <v/>
      </c>
      <c r="N52" s="26" t="str">
        <f>IF(COUNT(N24, N51)=0, "", SUM(N24, N51))</f>
        <v/>
      </c>
      <c r="O52" s="26" t="str">
        <f>IF(COUNT(O24, O51)=0, "", SUM(O24, O51))</f>
        <v/>
      </c>
      <c r="P52" s="26" t="str">
        <f>IF(COUNT(P24, P51)=0, "", SUM(P24, P51))</f>
        <v/>
      </c>
      <c r="Q52" s="27" t="str">
        <f>IF(COUNT(Q24, Q51)=0, "", SUM(Q24, Q51))</f>
        <v/>
      </c>
      <c r="R52" s="126" t="str">
        <f t="shared" ref="R52:S52" si="1">IF(COUNT(R24, R51)=0, "", SUM(R24, R51))</f>
        <v/>
      </c>
      <c r="S52" s="125" t="str">
        <f t="shared" si="1"/>
        <v/>
      </c>
      <c r="T52" s="26" t="str">
        <f>IF(COUNT(T24, T51)=0, "", SUM(T24, T51))</f>
        <v/>
      </c>
      <c r="U52" s="26" t="str">
        <f>IF(COUNT(U24, U51)=0, "", SUM(U24, U51))</f>
        <v/>
      </c>
      <c r="V52" s="126" t="str">
        <f t="shared" ref="V52:AA52" si="2">IF(COUNT(V24, V51)=0, "", SUM(V24, V51))</f>
        <v/>
      </c>
      <c r="W52" s="125" t="str">
        <f t="shared" si="2"/>
        <v/>
      </c>
      <c r="X52" s="126" t="str">
        <f t="shared" si="2"/>
        <v/>
      </c>
      <c r="Y52" s="127" t="str">
        <f t="shared" si="2"/>
        <v/>
      </c>
      <c r="Z52" s="126" t="str">
        <f t="shared" si="2"/>
        <v/>
      </c>
      <c r="AA52" s="125" t="str">
        <f t="shared" si="2"/>
        <v/>
      </c>
      <c r="AB52" s="26" t="str">
        <f>IF(COUNT(AB24, AB51)=0, "", SUM(AB24, AB51))</f>
        <v/>
      </c>
      <c r="AC52" s="26" t="str">
        <f>IF(COUNT(AC24, AC51)=0, "", SUM(AC24, AC51))</f>
        <v/>
      </c>
      <c r="AD52" s="26" t="str">
        <f>IF(COUNT(AD24, AD51)=0, "", SUM(AD24, AD51))</f>
        <v/>
      </c>
      <c r="AE52" s="27" t="str">
        <f>IF(COUNT(AE24, AE51)=0, "", SUM(AE24, AE51))</f>
        <v/>
      </c>
      <c r="AF52" s="26" t="str">
        <f>IF(COUNT(AF24, AF51)=0, "", SUM(AF24, AF51))</f>
        <v/>
      </c>
      <c r="AG52" s="126" t="str">
        <f t="shared" ref="AG52:AH52" si="3">IF(COUNT(AG24, AG51)=0, "", SUM(AG24, AG51))</f>
        <v/>
      </c>
      <c r="AH52" s="125" t="str">
        <f t="shared" si="3"/>
        <v/>
      </c>
      <c r="AI52" s="26" t="str">
        <f>IF(COUNT(AI24, AI51)=0, "", SUM(AI24, AI51))</f>
        <v/>
      </c>
      <c r="AJ52" s="26" t="str">
        <f>IF(COUNT(AJ24, AJ51)=0, "", SUM(AJ24, AJ51))</f>
        <v/>
      </c>
      <c r="AK52" s="126" t="str">
        <f t="shared" ref="AK52:AL52" si="4">IF(COUNT(AK24, AK51)=0, "", SUM(AK24, AK51))</f>
        <v/>
      </c>
      <c r="AL52" s="127" t="str">
        <f t="shared" si="4"/>
        <v/>
      </c>
      <c r="AM52" s="128">
        <f>AM24+AM51</f>
        <v>0</v>
      </c>
      <c r="AN52" s="129"/>
      <c r="AO52" s="128">
        <f>AO24+AO51</f>
        <v>0</v>
      </c>
      <c r="AP52" s="129"/>
      <c r="AQ52" s="128" t="s">
        <v>19</v>
      </c>
      <c r="AR52" s="130"/>
      <c r="AS52" s="130"/>
      <c r="AT52" s="130"/>
      <c r="AU52" s="129"/>
    </row>
    <row r="53" spans="1:47" ht="10" customHeight="1">
      <c r="A53" s="131" t="s">
        <v>23</v>
      </c>
      <c r="B53" s="33"/>
      <c r="C53" s="33"/>
      <c r="D53" s="33"/>
      <c r="E53" s="33"/>
      <c r="F53" s="33"/>
      <c r="G53" s="33"/>
      <c r="H53" s="33"/>
      <c r="I53" s="33"/>
      <c r="J53" s="33"/>
      <c r="K53" s="33"/>
      <c r="L53" s="33"/>
      <c r="M53" s="33"/>
      <c r="N53" s="33"/>
      <c r="O53" s="33"/>
      <c r="P53" s="33"/>
      <c r="Q53" s="33"/>
      <c r="R53" s="33"/>
      <c r="S53" s="33"/>
      <c r="T53" s="33"/>
      <c r="U53" s="33"/>
      <c r="V53" s="33"/>
      <c r="W53" s="33"/>
      <c r="X53" s="33"/>
      <c r="Y53" s="2"/>
      <c r="Z53" s="132" t="s">
        <v>24</v>
      </c>
      <c r="AA53" s="133"/>
      <c r="AB53" s="133"/>
      <c r="AC53" s="133"/>
      <c r="AD53" s="133"/>
      <c r="AE53" s="133"/>
      <c r="AF53" s="133"/>
      <c r="AG53" s="133"/>
      <c r="AH53" s="133"/>
      <c r="AI53" s="133"/>
      <c r="AJ53" s="133"/>
      <c r="AK53" s="134"/>
      <c r="AL53" s="2"/>
      <c r="AM53" s="219" t="s">
        <v>25</v>
      </c>
      <c r="AN53" s="220"/>
      <c r="AO53" s="221"/>
      <c r="AP53" s="215" t="s">
        <v>26</v>
      </c>
      <c r="AQ53" s="216"/>
      <c r="AR53" s="135" t="s">
        <v>27</v>
      </c>
      <c r="AS53" s="136"/>
      <c r="AT53" s="136"/>
      <c r="AU53" s="137"/>
    </row>
    <row r="54" spans="1:47" ht="10" customHeight="1" thickBot="1">
      <c r="A54" s="138" t="s">
        <v>28</v>
      </c>
      <c r="B54" s="33"/>
      <c r="C54" s="33"/>
      <c r="D54" s="33"/>
      <c r="E54" s="33"/>
      <c r="F54" s="33"/>
      <c r="G54" s="33"/>
      <c r="H54" s="33"/>
      <c r="I54" s="33"/>
      <c r="J54" s="33"/>
      <c r="K54" s="33"/>
      <c r="L54" s="33"/>
      <c r="M54" s="33"/>
      <c r="N54" s="33"/>
      <c r="O54" s="33"/>
      <c r="P54" s="33"/>
      <c r="Q54" s="33"/>
      <c r="R54" s="33"/>
      <c r="S54" s="33"/>
      <c r="T54" s="33"/>
      <c r="U54" s="33"/>
      <c r="V54" s="33"/>
      <c r="W54" s="33"/>
      <c r="X54" s="33"/>
      <c r="Y54" s="2"/>
      <c r="Z54" s="139" t="s">
        <v>29</v>
      </c>
      <c r="AA54" s="140"/>
      <c r="AB54" s="140"/>
      <c r="AC54" s="140"/>
      <c r="AD54" s="140"/>
      <c r="AE54" s="140"/>
      <c r="AF54" s="140"/>
      <c r="AG54" s="140"/>
      <c r="AH54" s="140"/>
      <c r="AI54" s="140"/>
      <c r="AJ54" s="140"/>
      <c r="AK54" s="141"/>
      <c r="AL54" s="2"/>
      <c r="AM54" s="217"/>
      <c r="AN54" s="222"/>
      <c r="AO54" s="218"/>
      <c r="AP54" s="217">
        <f>COUNTA(F6:AL6)</f>
        <v>0</v>
      </c>
      <c r="AQ54" s="218"/>
      <c r="AR54" s="28" t="s">
        <v>13</v>
      </c>
      <c r="AS54" s="28" t="s">
        <v>10</v>
      </c>
      <c r="AT54" s="142" t="s">
        <v>30</v>
      </c>
      <c r="AU54" s="143"/>
    </row>
    <row r="55" spans="1:47" ht="10"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2"/>
      <c r="Z55" s="139"/>
      <c r="AA55" s="140"/>
      <c r="AB55" s="140"/>
      <c r="AC55" s="140"/>
      <c r="AD55" s="140"/>
      <c r="AE55" s="140"/>
      <c r="AF55" s="140"/>
      <c r="AG55" s="140"/>
      <c r="AH55" s="140"/>
      <c r="AI55" s="140"/>
      <c r="AJ55" s="140"/>
      <c r="AK55" s="141"/>
      <c r="AL55" s="2"/>
      <c r="AM55" s="144" t="s">
        <v>31</v>
      </c>
      <c r="AN55" s="145"/>
      <c r="AO55" s="145"/>
      <c r="AP55" s="145"/>
      <c r="AQ55" s="146"/>
      <c r="AR55" s="157">
        <f>A24</f>
        <v>0</v>
      </c>
      <c r="AS55" s="157">
        <f>A51</f>
        <v>0</v>
      </c>
      <c r="AT55" s="150">
        <f>SUM(AR55:AS56)</f>
        <v>0</v>
      </c>
      <c r="AU55" s="151"/>
    </row>
    <row r="56" spans="1:47" ht="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2"/>
      <c r="Z56" s="154" t="s">
        <v>32</v>
      </c>
      <c r="AA56" s="155"/>
      <c r="AB56" s="155"/>
      <c r="AC56" s="155"/>
      <c r="AD56" s="155"/>
      <c r="AE56" s="155"/>
      <c r="AF56" s="155"/>
      <c r="AG56" s="155"/>
      <c r="AH56" s="155"/>
      <c r="AI56" s="155"/>
      <c r="AJ56" s="155"/>
      <c r="AK56" s="156"/>
      <c r="AL56" s="2"/>
      <c r="AM56" s="147"/>
      <c r="AN56" s="148"/>
      <c r="AO56" s="148"/>
      <c r="AP56" s="148"/>
      <c r="AQ56" s="149"/>
      <c r="AR56" s="158"/>
      <c r="AS56" s="158"/>
      <c r="AT56" s="152"/>
      <c r="AU56" s="153"/>
    </row>
    <row r="57" spans="1:47" ht="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2"/>
      <c r="Z57" s="154"/>
      <c r="AA57" s="155"/>
      <c r="AB57" s="155"/>
      <c r="AC57" s="155"/>
      <c r="AD57" s="155"/>
      <c r="AE57" s="155"/>
      <c r="AF57" s="155"/>
      <c r="AG57" s="155"/>
      <c r="AH57" s="155"/>
      <c r="AI57" s="155"/>
      <c r="AJ57" s="155"/>
      <c r="AK57" s="156"/>
      <c r="AL57" s="2"/>
      <c r="AM57" s="159" t="s">
        <v>33</v>
      </c>
      <c r="AN57" s="160"/>
      <c r="AO57" s="161"/>
      <c r="AP57" s="162" t="s">
        <v>34</v>
      </c>
      <c r="AQ57" s="163"/>
      <c r="AR57" s="234">
        <v>0</v>
      </c>
      <c r="AS57" s="234">
        <v>0</v>
      </c>
      <c r="AT57" s="150">
        <v>0</v>
      </c>
      <c r="AU57" s="151"/>
    </row>
    <row r="58" spans="1:47" ht="8" customHeight="1">
      <c r="A58" s="2"/>
      <c r="B58" s="145" t="s">
        <v>35</v>
      </c>
      <c r="C58" s="33"/>
      <c r="D58" s="33"/>
      <c r="E58" s="33"/>
      <c r="F58" s="33"/>
      <c r="G58" s="166" t="s">
        <v>36</v>
      </c>
      <c r="H58" s="166"/>
      <c r="I58" s="166"/>
      <c r="J58" s="166"/>
      <c r="K58" s="166"/>
      <c r="L58" s="166"/>
      <c r="M58" s="166"/>
      <c r="N58" s="166"/>
      <c r="O58" s="166"/>
      <c r="P58" s="166"/>
      <c r="Q58" s="166"/>
      <c r="R58" s="166"/>
      <c r="S58" s="166"/>
      <c r="T58" s="166" t="s">
        <v>37</v>
      </c>
      <c r="U58" s="33"/>
      <c r="V58" s="33"/>
      <c r="W58" s="2"/>
      <c r="X58" s="2"/>
      <c r="Y58" s="2"/>
      <c r="Z58" s="154" t="s">
        <v>38</v>
      </c>
      <c r="AA58" s="155"/>
      <c r="AB58" s="155"/>
      <c r="AC58" s="155"/>
      <c r="AD58" s="155"/>
      <c r="AE58" s="155"/>
      <c r="AF58" s="155"/>
      <c r="AG58" s="155"/>
      <c r="AH58" s="155"/>
      <c r="AI58" s="155"/>
      <c r="AJ58" s="155"/>
      <c r="AK58" s="156"/>
      <c r="AL58" s="2"/>
      <c r="AM58" s="159"/>
      <c r="AN58" s="160"/>
      <c r="AO58" s="161"/>
      <c r="AP58" s="162"/>
      <c r="AQ58" s="163"/>
      <c r="AR58" s="235"/>
      <c r="AS58" s="235"/>
      <c r="AT58" s="164"/>
      <c r="AU58" s="165"/>
    </row>
    <row r="59" spans="1:47" ht="2" customHeight="1">
      <c r="A59" s="2"/>
      <c r="B59" s="33"/>
      <c r="C59" s="33"/>
      <c r="D59" s="33"/>
      <c r="E59" s="33"/>
      <c r="F59" s="33"/>
      <c r="G59" s="167"/>
      <c r="H59" s="167"/>
      <c r="I59" s="167"/>
      <c r="J59" s="167"/>
      <c r="K59" s="167"/>
      <c r="L59" s="167"/>
      <c r="M59" s="167"/>
      <c r="N59" s="167"/>
      <c r="O59" s="167"/>
      <c r="P59" s="167"/>
      <c r="Q59" s="167"/>
      <c r="R59" s="167"/>
      <c r="S59" s="167"/>
      <c r="T59" s="33"/>
      <c r="U59" s="33"/>
      <c r="V59" s="33"/>
      <c r="W59" s="2"/>
      <c r="X59" s="2"/>
      <c r="Y59" s="2"/>
      <c r="Z59" s="154"/>
      <c r="AA59" s="155"/>
      <c r="AB59" s="155"/>
      <c r="AC59" s="155"/>
      <c r="AD59" s="155"/>
      <c r="AE59" s="155"/>
      <c r="AF59" s="155"/>
      <c r="AG59" s="155"/>
      <c r="AH59" s="155"/>
      <c r="AI59" s="155"/>
      <c r="AJ59" s="155"/>
      <c r="AK59" s="156"/>
      <c r="AL59" s="2"/>
      <c r="AM59" s="231" t="s">
        <v>39</v>
      </c>
      <c r="AN59" s="232"/>
      <c r="AO59" s="232"/>
      <c r="AP59" s="232"/>
      <c r="AQ59" s="233"/>
      <c r="AR59" s="235"/>
      <c r="AS59" s="235"/>
      <c r="AT59" s="164"/>
      <c r="AU59" s="165"/>
    </row>
    <row r="60" spans="1:47" ht="10" customHeight="1">
      <c r="A60" s="2"/>
      <c r="B60" s="33"/>
      <c r="C60" s="33"/>
      <c r="D60" s="33"/>
      <c r="E60" s="33"/>
      <c r="F60" s="33"/>
      <c r="G60" s="166" t="s">
        <v>40</v>
      </c>
      <c r="H60" s="33"/>
      <c r="I60" s="33"/>
      <c r="J60" s="33"/>
      <c r="K60" s="33"/>
      <c r="L60" s="33"/>
      <c r="M60" s="33"/>
      <c r="N60" s="33"/>
      <c r="O60" s="33"/>
      <c r="P60" s="33"/>
      <c r="Q60" s="33"/>
      <c r="R60" s="33"/>
      <c r="S60" s="33"/>
      <c r="T60" s="33"/>
      <c r="U60" s="33"/>
      <c r="V60" s="33"/>
      <c r="W60" s="2"/>
      <c r="X60" s="2"/>
      <c r="Y60" s="2"/>
      <c r="Z60" s="171" t="s">
        <v>41</v>
      </c>
      <c r="AA60" s="172"/>
      <c r="AB60" s="172"/>
      <c r="AC60" s="172"/>
      <c r="AD60" s="172"/>
      <c r="AE60" s="172"/>
      <c r="AF60" s="172"/>
      <c r="AG60" s="172"/>
      <c r="AH60" s="172"/>
      <c r="AI60" s="172"/>
      <c r="AJ60" s="172"/>
      <c r="AK60" s="173"/>
      <c r="AL60" s="2"/>
      <c r="AM60" s="187"/>
      <c r="AN60" s="188"/>
      <c r="AO60" s="188"/>
      <c r="AP60" s="188"/>
      <c r="AQ60" s="189"/>
      <c r="AR60" s="236"/>
      <c r="AS60" s="236"/>
      <c r="AT60" s="152"/>
      <c r="AU60" s="153"/>
    </row>
    <row r="61" spans="1:47" ht="10" customHeight="1">
      <c r="A61" s="2"/>
      <c r="B61" s="145" t="s">
        <v>42</v>
      </c>
      <c r="C61" s="33"/>
      <c r="D61" s="33"/>
      <c r="E61" s="33"/>
      <c r="F61" s="33"/>
      <c r="G61" s="167" t="s">
        <v>43</v>
      </c>
      <c r="H61" s="167"/>
      <c r="I61" s="167"/>
      <c r="J61" s="167"/>
      <c r="K61" s="167"/>
      <c r="L61" s="167"/>
      <c r="M61" s="167"/>
      <c r="N61" s="167"/>
      <c r="O61" s="167"/>
      <c r="P61" s="167"/>
      <c r="Q61" s="167"/>
      <c r="R61" s="167"/>
      <c r="S61" s="167"/>
      <c r="T61" s="2"/>
      <c r="U61" s="2"/>
      <c r="V61" s="2"/>
      <c r="W61" s="2"/>
      <c r="X61" s="2"/>
      <c r="Y61" s="2"/>
      <c r="Z61" s="171"/>
      <c r="AA61" s="33"/>
      <c r="AB61" s="33"/>
      <c r="AC61" s="33"/>
      <c r="AD61" s="33"/>
      <c r="AE61" s="33"/>
      <c r="AF61" s="33"/>
      <c r="AG61" s="33"/>
      <c r="AH61" s="33"/>
      <c r="AI61" s="33"/>
      <c r="AJ61" s="33"/>
      <c r="AK61" s="173"/>
      <c r="AL61" s="2"/>
      <c r="AM61" s="174" t="s">
        <v>44</v>
      </c>
      <c r="AN61" s="175"/>
      <c r="AO61" s="175"/>
      <c r="AP61" s="175"/>
      <c r="AQ61" s="176"/>
      <c r="AR61" s="184">
        <f>AR55</f>
        <v>0</v>
      </c>
      <c r="AS61" s="184">
        <f>AS55</f>
        <v>0</v>
      </c>
      <c r="AT61" s="177">
        <f>SUM(AR61:AS62)</f>
        <v>0</v>
      </c>
      <c r="AU61" s="178"/>
    </row>
    <row r="62" spans="1:47" ht="10" customHeight="1">
      <c r="A62" s="2"/>
      <c r="B62" s="33"/>
      <c r="C62" s="33"/>
      <c r="D62" s="33"/>
      <c r="E62" s="33"/>
      <c r="F62" s="33"/>
      <c r="G62" s="166" t="s">
        <v>45</v>
      </c>
      <c r="H62" s="33"/>
      <c r="I62" s="33"/>
      <c r="J62" s="33"/>
      <c r="K62" s="33"/>
      <c r="L62" s="33"/>
      <c r="M62" s="33"/>
      <c r="N62" s="33"/>
      <c r="O62" s="33"/>
      <c r="P62" s="33"/>
      <c r="Q62" s="33"/>
      <c r="R62" s="33"/>
      <c r="S62" s="33"/>
      <c r="T62" s="2"/>
      <c r="U62" s="2"/>
      <c r="V62" s="2"/>
      <c r="W62" s="2"/>
      <c r="X62" s="2"/>
      <c r="Y62" s="2"/>
      <c r="Z62" s="171"/>
      <c r="AA62" s="33"/>
      <c r="AB62" s="33"/>
      <c r="AC62" s="33"/>
      <c r="AD62" s="33"/>
      <c r="AE62" s="33"/>
      <c r="AF62" s="33"/>
      <c r="AG62" s="33"/>
      <c r="AH62" s="33"/>
      <c r="AI62" s="33"/>
      <c r="AJ62" s="33"/>
      <c r="AK62" s="173"/>
      <c r="AL62" s="2"/>
      <c r="AM62" s="181" t="s">
        <v>46</v>
      </c>
      <c r="AN62" s="182"/>
      <c r="AO62" s="182"/>
      <c r="AP62" s="182"/>
      <c r="AQ62" s="183"/>
      <c r="AR62" s="185"/>
      <c r="AS62" s="185"/>
      <c r="AT62" s="179"/>
      <c r="AU62" s="180"/>
    </row>
    <row r="63" spans="1:47" ht="10" customHeight="1">
      <c r="A63" s="2"/>
      <c r="B63" s="145" t="s">
        <v>47</v>
      </c>
      <c r="C63" s="33"/>
      <c r="D63" s="33"/>
      <c r="E63" s="33"/>
      <c r="F63" s="33"/>
      <c r="G63" s="167" t="s">
        <v>48</v>
      </c>
      <c r="H63" s="167"/>
      <c r="I63" s="167"/>
      <c r="J63" s="167"/>
      <c r="K63" s="167"/>
      <c r="L63" s="167"/>
      <c r="M63" s="167"/>
      <c r="N63" s="167"/>
      <c r="O63" s="167"/>
      <c r="P63" s="167"/>
      <c r="Q63" s="167"/>
      <c r="R63" s="167"/>
      <c r="S63" s="167"/>
      <c r="T63" s="166" t="s">
        <v>37</v>
      </c>
      <c r="U63" s="33"/>
      <c r="V63" s="33"/>
      <c r="W63" s="2"/>
      <c r="X63" s="2"/>
      <c r="Y63" s="2"/>
      <c r="Z63" s="171"/>
      <c r="AA63" s="172"/>
      <c r="AB63" s="172"/>
      <c r="AC63" s="172"/>
      <c r="AD63" s="172"/>
      <c r="AE63" s="172"/>
      <c r="AF63" s="172"/>
      <c r="AG63" s="172"/>
      <c r="AH63" s="172"/>
      <c r="AI63" s="172"/>
      <c r="AJ63" s="172"/>
      <c r="AK63" s="173"/>
      <c r="AL63" s="2"/>
      <c r="AM63" s="174" t="s">
        <v>49</v>
      </c>
      <c r="AN63" s="175"/>
      <c r="AO63" s="175"/>
      <c r="AP63" s="175"/>
      <c r="AQ63" s="176"/>
      <c r="AR63" s="184" t="e">
        <f>AR61/AR55*100</f>
        <v>#DIV/0!</v>
      </c>
      <c r="AS63" s="184" t="e">
        <f>AS61/AS55*100</f>
        <v>#DIV/0!</v>
      </c>
      <c r="AT63" s="177" t="e">
        <f>AVERAGE(AR63:AS64)</f>
        <v>#DIV/0!</v>
      </c>
      <c r="AU63" s="178"/>
    </row>
    <row r="64" spans="1:47" ht="10" customHeight="1">
      <c r="A64" s="2"/>
      <c r="B64" s="33"/>
      <c r="C64" s="33"/>
      <c r="D64" s="33"/>
      <c r="E64" s="33"/>
      <c r="F64" s="33"/>
      <c r="G64" s="166" t="s">
        <v>36</v>
      </c>
      <c r="H64" s="33"/>
      <c r="I64" s="33"/>
      <c r="J64" s="33"/>
      <c r="K64" s="33"/>
      <c r="L64" s="33"/>
      <c r="M64" s="33"/>
      <c r="N64" s="33"/>
      <c r="O64" s="33"/>
      <c r="P64" s="33"/>
      <c r="Q64" s="33"/>
      <c r="R64" s="33"/>
      <c r="S64" s="33"/>
      <c r="T64" s="33"/>
      <c r="U64" s="33"/>
      <c r="V64" s="33"/>
      <c r="W64" s="2"/>
      <c r="X64" s="2"/>
      <c r="Y64" s="2"/>
      <c r="Z64" s="154" t="s">
        <v>50</v>
      </c>
      <c r="AA64" s="155"/>
      <c r="AB64" s="155"/>
      <c r="AC64" s="155"/>
      <c r="AD64" s="155"/>
      <c r="AE64" s="155"/>
      <c r="AF64" s="155"/>
      <c r="AG64" s="155"/>
      <c r="AH64" s="155"/>
      <c r="AI64" s="155"/>
      <c r="AJ64" s="155"/>
      <c r="AK64" s="156"/>
      <c r="AL64" s="2"/>
      <c r="AM64" s="181" t="s">
        <v>46</v>
      </c>
      <c r="AN64" s="182"/>
      <c r="AO64" s="182"/>
      <c r="AP64" s="182"/>
      <c r="AQ64" s="183"/>
      <c r="AR64" s="185"/>
      <c r="AS64" s="185"/>
      <c r="AT64" s="179"/>
      <c r="AU64" s="180"/>
    </row>
    <row r="65" spans="1:47" ht="10" customHeight="1">
      <c r="A65" s="2"/>
      <c r="B65" s="2"/>
      <c r="C65" s="2"/>
      <c r="D65" s="2"/>
      <c r="E65" s="2"/>
      <c r="F65" s="2"/>
      <c r="G65" s="2"/>
      <c r="H65" s="2"/>
      <c r="I65" s="2"/>
      <c r="J65" s="2"/>
      <c r="K65" s="2"/>
      <c r="L65" s="2"/>
      <c r="M65" s="2"/>
      <c r="N65" s="2"/>
      <c r="O65" s="2"/>
      <c r="P65" s="2"/>
      <c r="Q65" s="2"/>
      <c r="R65" s="2"/>
      <c r="S65" s="2"/>
      <c r="T65" s="2"/>
      <c r="U65" s="2"/>
      <c r="V65" s="2"/>
      <c r="W65" s="2"/>
      <c r="X65" s="2"/>
      <c r="Y65" s="2"/>
      <c r="Z65" s="171" t="s">
        <v>51</v>
      </c>
      <c r="AA65" s="172"/>
      <c r="AB65" s="172"/>
      <c r="AC65" s="172"/>
      <c r="AD65" s="172"/>
      <c r="AE65" s="172"/>
      <c r="AF65" s="172"/>
      <c r="AG65" s="172"/>
      <c r="AH65" s="172"/>
      <c r="AI65" s="172"/>
      <c r="AJ65" s="172"/>
      <c r="AK65" s="173"/>
      <c r="AL65" s="2"/>
      <c r="AM65" s="231" t="s">
        <v>52</v>
      </c>
      <c r="AN65" s="232"/>
      <c r="AO65" s="232"/>
      <c r="AP65" s="232"/>
      <c r="AQ65" s="233"/>
      <c r="AR65" s="184" t="e">
        <f>AO24/AP54</f>
        <v>#DIV/0!</v>
      </c>
      <c r="AS65" s="184" t="e">
        <f>AO51/AP54</f>
        <v>#DIV/0!</v>
      </c>
      <c r="AT65" s="177" t="e">
        <f>AR65+AS65</f>
        <v>#DIV/0!</v>
      </c>
      <c r="AU65" s="178"/>
    </row>
    <row r="66" spans="1:47" ht="5" customHeight="1">
      <c r="A66" s="186" t="s">
        <v>53</v>
      </c>
      <c r="B66" s="33"/>
      <c r="C66" s="33"/>
      <c r="D66" s="33"/>
      <c r="E66" s="33"/>
      <c r="F66" s="33"/>
      <c r="G66" s="33"/>
      <c r="H66" s="33"/>
      <c r="I66" s="33"/>
      <c r="J66" s="33"/>
      <c r="K66" s="33"/>
      <c r="L66" s="33"/>
      <c r="M66" s="33"/>
      <c r="N66" s="33"/>
      <c r="O66" s="33"/>
      <c r="P66" s="33"/>
      <c r="Q66" s="33"/>
      <c r="R66" s="33"/>
      <c r="S66" s="33"/>
      <c r="T66" s="33"/>
      <c r="U66" s="33"/>
      <c r="V66" s="33"/>
      <c r="W66" s="33"/>
      <c r="X66" s="33"/>
      <c r="Y66" s="2"/>
      <c r="Z66" s="171"/>
      <c r="AA66" s="33"/>
      <c r="AB66" s="33"/>
      <c r="AC66" s="33"/>
      <c r="AD66" s="33"/>
      <c r="AE66" s="33"/>
      <c r="AF66" s="33"/>
      <c r="AG66" s="33"/>
      <c r="AH66" s="33"/>
      <c r="AI66" s="33"/>
      <c r="AJ66" s="33"/>
      <c r="AK66" s="173"/>
      <c r="AL66" s="2"/>
      <c r="AM66" s="187"/>
      <c r="AN66" s="188"/>
      <c r="AO66" s="188"/>
      <c r="AP66" s="188"/>
      <c r="AQ66" s="189"/>
      <c r="AR66" s="185"/>
      <c r="AS66" s="185"/>
      <c r="AT66" s="179"/>
      <c r="AU66" s="180"/>
    </row>
    <row r="67" spans="1:47" ht="1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2"/>
      <c r="Z67" s="171"/>
      <c r="AA67" s="33"/>
      <c r="AB67" s="33"/>
      <c r="AC67" s="33"/>
      <c r="AD67" s="33"/>
      <c r="AE67" s="33"/>
      <c r="AF67" s="33"/>
      <c r="AG67" s="33"/>
      <c r="AH67" s="33"/>
      <c r="AI67" s="33"/>
      <c r="AJ67" s="33"/>
      <c r="AK67" s="173"/>
      <c r="AL67" s="2"/>
      <c r="AM67" s="187" t="s">
        <v>54</v>
      </c>
      <c r="AN67" s="188"/>
      <c r="AO67" s="188"/>
      <c r="AP67" s="188"/>
      <c r="AQ67" s="189"/>
      <c r="AR67" s="29" t="e">
        <f>(AR65/AR61)*100</f>
        <v>#DIV/0!</v>
      </c>
      <c r="AS67" s="29" t="e">
        <f>(AS65/AS61)*100</f>
        <v>#DIV/0!</v>
      </c>
      <c r="AT67" s="190" t="e">
        <f>AVERAGE(AR67:AS67)</f>
        <v>#DIV/0!</v>
      </c>
      <c r="AU67" s="191"/>
    </row>
    <row r="68" spans="1:47" ht="21"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2"/>
      <c r="Z68" s="171"/>
      <c r="AA68" s="33"/>
      <c r="AB68" s="33"/>
      <c r="AC68" s="33"/>
      <c r="AD68" s="33"/>
      <c r="AE68" s="33"/>
      <c r="AF68" s="33"/>
      <c r="AG68" s="33"/>
      <c r="AH68" s="33"/>
      <c r="AI68" s="33"/>
      <c r="AJ68" s="33"/>
      <c r="AK68" s="173"/>
      <c r="AL68" s="2"/>
      <c r="AM68" s="187" t="s">
        <v>55</v>
      </c>
      <c r="AN68" s="188"/>
      <c r="AO68" s="188"/>
      <c r="AP68" s="188"/>
      <c r="AQ68" s="189"/>
      <c r="AR68" s="29">
        <v>0</v>
      </c>
      <c r="AS68" s="29">
        <v>0</v>
      </c>
      <c r="AT68" s="190">
        <f>AR68+AS68</f>
        <v>0</v>
      </c>
      <c r="AU68" s="191"/>
    </row>
    <row r="69" spans="1:47" ht="9"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2"/>
      <c r="Z69" s="171"/>
      <c r="AA69" s="172"/>
      <c r="AB69" s="172"/>
      <c r="AC69" s="172"/>
      <c r="AD69" s="172"/>
      <c r="AE69" s="172"/>
      <c r="AF69" s="172"/>
      <c r="AG69" s="172"/>
      <c r="AH69" s="172"/>
      <c r="AI69" s="172"/>
      <c r="AJ69" s="172"/>
      <c r="AK69" s="173"/>
      <c r="AL69" s="2"/>
      <c r="AM69" s="192" t="s">
        <v>56</v>
      </c>
      <c r="AN69" s="193"/>
      <c r="AO69" s="193"/>
      <c r="AP69" s="193"/>
      <c r="AQ69" s="194"/>
      <c r="AR69" s="184">
        <v>0</v>
      </c>
      <c r="AS69" s="184">
        <v>0</v>
      </c>
      <c r="AT69" s="177">
        <f>AR69+AS69</f>
        <v>0</v>
      </c>
      <c r="AU69" s="178"/>
    </row>
    <row r="70" spans="1:47" ht="4" customHeight="1">
      <c r="A70" s="2"/>
      <c r="B70" s="198" t="s">
        <v>57</v>
      </c>
      <c r="C70" s="199"/>
      <c r="D70" s="199"/>
      <c r="E70" s="199"/>
      <c r="F70" s="199"/>
      <c r="G70" s="199"/>
      <c r="H70" s="199"/>
      <c r="I70" s="199"/>
      <c r="J70" s="199"/>
      <c r="K70" s="199"/>
      <c r="L70" s="199"/>
      <c r="M70" s="199"/>
      <c r="N70" s="199"/>
      <c r="O70" s="199"/>
      <c r="P70" s="199"/>
      <c r="Q70" s="199"/>
      <c r="R70" s="199"/>
      <c r="S70" s="199"/>
      <c r="T70" s="199"/>
      <c r="U70" s="199"/>
      <c r="V70" s="199"/>
      <c r="W70" s="199"/>
      <c r="X70" s="200"/>
      <c r="Y70" s="2"/>
      <c r="Z70" s="154" t="s">
        <v>58</v>
      </c>
      <c r="AA70" s="155"/>
      <c r="AB70" s="155"/>
      <c r="AC70" s="155"/>
      <c r="AD70" s="155"/>
      <c r="AE70" s="155"/>
      <c r="AF70" s="155"/>
      <c r="AG70" s="155"/>
      <c r="AH70" s="155"/>
      <c r="AI70" s="155"/>
      <c r="AJ70" s="155"/>
      <c r="AK70" s="156"/>
      <c r="AL70" s="2"/>
      <c r="AM70" s="195"/>
      <c r="AN70" s="196"/>
      <c r="AO70" s="196"/>
      <c r="AP70" s="196"/>
      <c r="AQ70" s="197"/>
      <c r="AR70" s="185"/>
      <c r="AS70" s="185"/>
      <c r="AT70" s="179"/>
      <c r="AU70" s="180"/>
    </row>
    <row r="71" spans="1:47" ht="6" customHeight="1">
      <c r="A71" s="2"/>
      <c r="B71" s="201"/>
      <c r="C71" s="33"/>
      <c r="D71" s="33"/>
      <c r="E71" s="33"/>
      <c r="F71" s="33"/>
      <c r="G71" s="33"/>
      <c r="H71" s="33"/>
      <c r="I71" s="33"/>
      <c r="J71" s="33"/>
      <c r="K71" s="33"/>
      <c r="L71" s="33"/>
      <c r="M71" s="33"/>
      <c r="N71" s="33"/>
      <c r="O71" s="33"/>
      <c r="P71" s="33"/>
      <c r="Q71" s="33"/>
      <c r="R71" s="33"/>
      <c r="S71" s="33"/>
      <c r="T71" s="33"/>
      <c r="U71" s="33"/>
      <c r="V71" s="33"/>
      <c r="W71" s="33"/>
      <c r="X71" s="202"/>
      <c r="Y71" s="2"/>
      <c r="Z71" s="154"/>
      <c r="AA71" s="155"/>
      <c r="AB71" s="155"/>
      <c r="AC71" s="155"/>
      <c r="AD71" s="155"/>
      <c r="AE71" s="155"/>
      <c r="AF71" s="155"/>
      <c r="AG71" s="155"/>
      <c r="AH71" s="155"/>
      <c r="AI71" s="155"/>
      <c r="AJ71" s="155"/>
      <c r="AK71" s="156"/>
      <c r="AL71" s="2"/>
      <c r="AM71" s="62" t="s">
        <v>59</v>
      </c>
      <c r="AN71" s="206"/>
      <c r="AO71" s="206"/>
      <c r="AP71" s="206"/>
      <c r="AQ71" s="207"/>
      <c r="AR71" s="184">
        <v>0</v>
      </c>
      <c r="AS71" s="184">
        <v>0</v>
      </c>
      <c r="AT71" s="177">
        <f>AR71+AS71</f>
        <v>0</v>
      </c>
      <c r="AU71" s="178"/>
    </row>
    <row r="72" spans="1:47" ht="7" customHeight="1">
      <c r="A72" s="2"/>
      <c r="B72" s="201"/>
      <c r="C72" s="33"/>
      <c r="D72" s="33"/>
      <c r="E72" s="33"/>
      <c r="F72" s="33"/>
      <c r="G72" s="33"/>
      <c r="H72" s="33"/>
      <c r="I72" s="33"/>
      <c r="J72" s="33"/>
      <c r="K72" s="33"/>
      <c r="L72" s="33"/>
      <c r="M72" s="33"/>
      <c r="N72" s="33"/>
      <c r="O72" s="33"/>
      <c r="P72" s="33"/>
      <c r="Q72" s="33"/>
      <c r="R72" s="33"/>
      <c r="S72" s="33"/>
      <c r="T72" s="33"/>
      <c r="U72" s="33"/>
      <c r="V72" s="33"/>
      <c r="W72" s="33"/>
      <c r="X72" s="202"/>
      <c r="Y72" s="2"/>
      <c r="Z72" s="171" t="s">
        <v>60</v>
      </c>
      <c r="AA72" s="172"/>
      <c r="AB72" s="172"/>
      <c r="AC72" s="172"/>
      <c r="AD72" s="172"/>
      <c r="AE72" s="172"/>
      <c r="AF72" s="172"/>
      <c r="AG72" s="172"/>
      <c r="AH72" s="172"/>
      <c r="AI72" s="172"/>
      <c r="AJ72" s="172"/>
      <c r="AK72" s="173"/>
      <c r="AL72" s="2"/>
      <c r="AM72" s="195"/>
      <c r="AN72" s="196"/>
      <c r="AO72" s="196"/>
      <c r="AP72" s="196"/>
      <c r="AQ72" s="197"/>
      <c r="AR72" s="185"/>
      <c r="AS72" s="185"/>
      <c r="AT72" s="179"/>
      <c r="AU72" s="180"/>
    </row>
    <row r="73" spans="1:47" ht="3" customHeight="1">
      <c r="A73" s="2"/>
      <c r="B73" s="203"/>
      <c r="C73" s="204"/>
      <c r="D73" s="204"/>
      <c r="E73" s="204"/>
      <c r="F73" s="204"/>
      <c r="G73" s="204"/>
      <c r="H73" s="204"/>
      <c r="I73" s="204"/>
      <c r="J73" s="204"/>
      <c r="K73" s="204"/>
      <c r="L73" s="204"/>
      <c r="M73" s="204"/>
      <c r="N73" s="204"/>
      <c r="O73" s="204"/>
      <c r="P73" s="204"/>
      <c r="Q73" s="204"/>
      <c r="R73" s="204"/>
      <c r="S73" s="204"/>
      <c r="T73" s="204"/>
      <c r="U73" s="204"/>
      <c r="V73" s="204"/>
      <c r="W73" s="204"/>
      <c r="X73" s="205"/>
      <c r="Y73" s="2"/>
      <c r="Z73" s="171"/>
      <c r="AA73" s="33"/>
      <c r="AB73" s="33"/>
      <c r="AC73" s="33"/>
      <c r="AD73" s="33"/>
      <c r="AE73" s="33"/>
      <c r="AF73" s="33"/>
      <c r="AG73" s="33"/>
      <c r="AH73" s="33"/>
      <c r="AI73" s="33"/>
      <c r="AJ73" s="33"/>
      <c r="AK73" s="173"/>
      <c r="AL73" s="2"/>
      <c r="AM73" s="62" t="s">
        <v>61</v>
      </c>
      <c r="AN73" s="206"/>
      <c r="AO73" s="206"/>
      <c r="AP73" s="206"/>
      <c r="AQ73" s="207"/>
      <c r="AR73" s="184">
        <v>0</v>
      </c>
      <c r="AS73" s="184">
        <v>0</v>
      </c>
      <c r="AT73" s="177">
        <f>AR73+AS73</f>
        <v>0</v>
      </c>
      <c r="AU73" s="178"/>
    </row>
    <row r="74" spans="1:47" ht="10" customHeight="1">
      <c r="A74" s="2"/>
      <c r="B74" s="2"/>
      <c r="C74" s="2"/>
      <c r="D74" s="2"/>
      <c r="E74" s="2"/>
      <c r="F74" s="2"/>
      <c r="G74" s="2"/>
      <c r="H74" s="2"/>
      <c r="I74" s="2"/>
      <c r="J74" s="2"/>
      <c r="K74" s="2"/>
      <c r="L74" s="2"/>
      <c r="M74" s="2"/>
      <c r="N74" s="2"/>
      <c r="O74" s="2"/>
      <c r="P74" s="2"/>
      <c r="Q74" s="2"/>
      <c r="R74" s="2"/>
      <c r="S74" s="2"/>
      <c r="T74" s="2"/>
      <c r="U74" s="2"/>
      <c r="V74" s="2"/>
      <c r="W74" s="2"/>
      <c r="X74" s="2"/>
      <c r="Y74" s="2"/>
      <c r="Z74" s="171"/>
      <c r="AA74" s="33"/>
      <c r="AB74" s="33"/>
      <c r="AC74" s="33"/>
      <c r="AD74" s="33"/>
      <c r="AE74" s="33"/>
      <c r="AF74" s="33"/>
      <c r="AG74" s="33"/>
      <c r="AH74" s="33"/>
      <c r="AI74" s="33"/>
      <c r="AJ74" s="33"/>
      <c r="AK74" s="173"/>
      <c r="AL74" s="2"/>
      <c r="AM74" s="64"/>
      <c r="AN74" s="65"/>
      <c r="AO74" s="65"/>
      <c r="AP74" s="65"/>
      <c r="AQ74" s="208"/>
      <c r="AR74" s="211"/>
      <c r="AS74" s="211"/>
      <c r="AT74" s="209"/>
      <c r="AU74" s="210"/>
    </row>
    <row r="75" spans="1:47" ht="10" customHeight="1">
      <c r="A75" s="2"/>
      <c r="B75" s="2"/>
      <c r="C75" s="2"/>
      <c r="D75" s="2"/>
      <c r="E75" s="2"/>
      <c r="F75" s="2"/>
      <c r="G75" s="2"/>
      <c r="H75" s="2"/>
      <c r="I75" s="2"/>
      <c r="J75" s="2"/>
      <c r="K75" s="2"/>
      <c r="L75" s="2"/>
      <c r="M75" s="2"/>
      <c r="N75" s="2"/>
      <c r="O75" s="2"/>
      <c r="P75" s="2"/>
      <c r="Q75" s="2"/>
      <c r="R75" s="2"/>
      <c r="S75" s="2"/>
      <c r="T75" s="2"/>
      <c r="U75" s="2"/>
      <c r="V75" s="2"/>
      <c r="W75" s="2"/>
      <c r="X75" s="2"/>
      <c r="Y75" s="2"/>
      <c r="Z75" s="171"/>
      <c r="AA75" s="172"/>
      <c r="AB75" s="172"/>
      <c r="AC75" s="172"/>
      <c r="AD75" s="172"/>
      <c r="AE75" s="172"/>
      <c r="AF75" s="172"/>
      <c r="AG75" s="172"/>
      <c r="AH75" s="172"/>
      <c r="AI75" s="172"/>
      <c r="AJ75" s="172"/>
      <c r="AK75" s="173"/>
      <c r="AL75" s="2"/>
      <c r="AM75" s="2"/>
      <c r="AN75" s="2"/>
      <c r="AO75" s="2"/>
      <c r="AP75" s="2"/>
      <c r="AQ75" s="2"/>
      <c r="AR75" s="2"/>
      <c r="AS75" s="2"/>
      <c r="AT75" s="2"/>
      <c r="AU75" s="2"/>
    </row>
    <row r="76" spans="1:47" ht="10" customHeight="1">
      <c r="A76" s="2"/>
      <c r="B76" s="2"/>
      <c r="C76" s="2"/>
      <c r="D76" s="2"/>
      <c r="E76" s="2"/>
      <c r="F76" s="2"/>
      <c r="G76" s="2"/>
      <c r="H76" s="2"/>
      <c r="I76" s="2"/>
      <c r="J76" s="2"/>
      <c r="K76" s="2"/>
      <c r="L76" s="2"/>
      <c r="M76" s="2"/>
      <c r="N76" s="2"/>
      <c r="O76" s="2"/>
      <c r="P76" s="2"/>
      <c r="Q76" s="2"/>
      <c r="R76" s="2"/>
      <c r="S76" s="2"/>
      <c r="T76" s="2"/>
      <c r="U76" s="2"/>
      <c r="V76" s="2"/>
      <c r="W76" s="2"/>
      <c r="X76" s="2"/>
      <c r="Y76" s="2"/>
      <c r="Z76" s="154" t="s">
        <v>62</v>
      </c>
      <c r="AA76" s="155"/>
      <c r="AB76" s="155"/>
      <c r="AC76" s="155"/>
      <c r="AD76" s="155"/>
      <c r="AE76" s="155"/>
      <c r="AF76" s="155"/>
      <c r="AG76" s="155"/>
      <c r="AH76" s="155"/>
      <c r="AI76" s="155"/>
      <c r="AJ76" s="155"/>
      <c r="AK76" s="156"/>
      <c r="AL76" s="2"/>
      <c r="AM76" s="223" t="s">
        <v>63</v>
      </c>
      <c r="AN76" s="33"/>
      <c r="AO76" s="33"/>
      <c r="AP76" s="33"/>
      <c r="AQ76" s="33"/>
      <c r="AR76" s="33"/>
      <c r="AS76" s="33"/>
      <c r="AT76" s="33"/>
      <c r="AU76" s="33"/>
    </row>
    <row r="77" spans="1:47" ht="10" customHeight="1">
      <c r="A77" s="2"/>
      <c r="B77" s="2"/>
      <c r="C77" s="2"/>
      <c r="D77" s="2"/>
      <c r="E77" s="2"/>
      <c r="F77" s="2"/>
      <c r="G77" s="2"/>
      <c r="H77" s="2"/>
      <c r="I77" s="2"/>
      <c r="J77" s="2"/>
      <c r="K77" s="2"/>
      <c r="L77" s="2"/>
      <c r="M77" s="2"/>
      <c r="N77" s="2"/>
      <c r="O77" s="2"/>
      <c r="P77" s="2"/>
      <c r="Q77" s="2"/>
      <c r="R77" s="2"/>
      <c r="S77" s="2"/>
      <c r="T77" s="2"/>
      <c r="U77" s="2"/>
      <c r="V77" s="2"/>
      <c r="W77" s="2"/>
      <c r="X77" s="2"/>
      <c r="Y77" s="2"/>
      <c r="Z77" s="171" t="s">
        <v>64</v>
      </c>
      <c r="AA77" s="172"/>
      <c r="AB77" s="172"/>
      <c r="AC77" s="172"/>
      <c r="AD77" s="172"/>
      <c r="AE77" s="172"/>
      <c r="AF77" s="172"/>
      <c r="AG77" s="172"/>
      <c r="AH77" s="172"/>
      <c r="AI77" s="172"/>
      <c r="AJ77" s="172"/>
      <c r="AK77" s="173"/>
      <c r="AL77" s="2"/>
      <c r="AM77" s="33"/>
      <c r="AN77" s="33"/>
      <c r="AO77" s="33"/>
      <c r="AP77" s="33"/>
      <c r="AQ77" s="33"/>
      <c r="AR77" s="33"/>
      <c r="AS77" s="33"/>
      <c r="AT77" s="33"/>
      <c r="AU77" s="33"/>
    </row>
    <row r="78" spans="1:47" ht="20" customHeight="1">
      <c r="A78" s="2"/>
      <c r="B78" s="2"/>
      <c r="C78" s="2"/>
      <c r="D78" s="2"/>
      <c r="E78" s="2"/>
      <c r="F78" s="2"/>
      <c r="G78" s="2"/>
      <c r="H78" s="2"/>
      <c r="I78" s="2"/>
      <c r="J78" s="2"/>
      <c r="K78" s="2"/>
      <c r="L78" s="2"/>
      <c r="M78" s="2"/>
      <c r="N78" s="2"/>
      <c r="O78" s="2"/>
      <c r="P78" s="2"/>
      <c r="Q78" s="2"/>
      <c r="R78" s="2"/>
      <c r="S78" s="2"/>
      <c r="T78" s="2"/>
      <c r="U78" s="2"/>
      <c r="V78" s="2"/>
      <c r="W78" s="2"/>
      <c r="X78" s="2"/>
      <c r="Y78" s="2"/>
      <c r="Z78" s="171"/>
      <c r="AA78" s="172"/>
      <c r="AB78" s="172"/>
      <c r="AC78" s="172"/>
      <c r="AD78" s="172"/>
      <c r="AE78" s="172"/>
      <c r="AF78" s="172"/>
      <c r="AG78" s="172"/>
      <c r="AH78" s="172"/>
      <c r="AI78" s="172"/>
      <c r="AJ78" s="172"/>
      <c r="AK78" s="173"/>
      <c r="AL78" s="2"/>
      <c r="AM78" s="2"/>
      <c r="AN78" s="224"/>
      <c r="AO78" s="224"/>
      <c r="AP78" s="224"/>
      <c r="AQ78" s="224"/>
      <c r="AR78" s="224"/>
      <c r="AS78" s="224"/>
      <c r="AT78" s="224"/>
      <c r="AU78" s="224"/>
    </row>
    <row r="79" spans="1:47" ht="10" customHeight="1">
      <c r="A79" s="2"/>
      <c r="B79" s="2"/>
      <c r="C79" s="2"/>
      <c r="D79" s="2"/>
      <c r="E79" s="2"/>
      <c r="F79" s="2"/>
      <c r="G79" s="2"/>
      <c r="H79" s="2"/>
      <c r="I79" s="2"/>
      <c r="J79" s="2"/>
      <c r="K79" s="2"/>
      <c r="L79" s="2"/>
      <c r="M79" s="2"/>
      <c r="N79" s="2"/>
      <c r="O79" s="2"/>
      <c r="P79" s="2"/>
      <c r="Q79" s="2"/>
      <c r="R79" s="2"/>
      <c r="S79" s="2"/>
      <c r="T79" s="2"/>
      <c r="U79" s="2"/>
      <c r="V79" s="2"/>
      <c r="W79" s="2"/>
      <c r="X79" s="2"/>
      <c r="Y79" s="2"/>
      <c r="Z79" s="154" t="s">
        <v>65</v>
      </c>
      <c r="AA79" s="155"/>
      <c r="AB79" s="155"/>
      <c r="AC79" s="155"/>
      <c r="AD79" s="155"/>
      <c r="AE79" s="155"/>
      <c r="AF79" s="155"/>
      <c r="AG79" s="155"/>
      <c r="AH79" s="155"/>
      <c r="AI79" s="155"/>
      <c r="AJ79" s="155"/>
      <c r="AK79" s="156"/>
      <c r="AL79" s="2"/>
      <c r="AM79" s="2"/>
      <c r="AN79" s="212"/>
      <c r="AO79" s="212"/>
      <c r="AP79" s="212"/>
      <c r="AQ79" s="212"/>
      <c r="AR79" s="212"/>
      <c r="AS79" s="212"/>
      <c r="AT79" s="212"/>
      <c r="AU79" s="212"/>
    </row>
    <row r="80" spans="1:47" ht="10" customHeight="1">
      <c r="A80" s="2"/>
      <c r="B80" s="2"/>
      <c r="C80" s="2"/>
      <c r="D80" s="2"/>
      <c r="E80" s="2"/>
      <c r="F80" s="2"/>
      <c r="G80" s="2"/>
      <c r="H80" s="2"/>
      <c r="I80" s="2"/>
      <c r="J80" s="2"/>
      <c r="K80" s="2"/>
      <c r="L80" s="2"/>
      <c r="M80" s="2"/>
      <c r="N80" s="2"/>
      <c r="O80" s="2"/>
      <c r="P80" s="2"/>
      <c r="Q80" s="2"/>
      <c r="R80" s="2"/>
      <c r="S80" s="2"/>
      <c r="T80" s="2"/>
      <c r="U80" s="2"/>
      <c r="V80" s="2"/>
      <c r="W80" s="2"/>
      <c r="X80" s="2"/>
      <c r="Y80" s="2"/>
      <c r="Z80" s="171" t="s">
        <v>66</v>
      </c>
      <c r="AA80" s="172"/>
      <c r="AB80" s="172"/>
      <c r="AC80" s="172"/>
      <c r="AD80" s="172"/>
      <c r="AE80" s="172"/>
      <c r="AF80" s="172"/>
      <c r="AG80" s="172"/>
      <c r="AH80" s="172"/>
      <c r="AI80" s="172"/>
      <c r="AJ80" s="172"/>
      <c r="AK80" s="173"/>
      <c r="AL80" s="2"/>
      <c r="AM80" s="2"/>
      <c r="AN80" s="214" t="s">
        <v>67</v>
      </c>
      <c r="AO80" s="33"/>
      <c r="AP80" s="33"/>
      <c r="AQ80" s="33"/>
      <c r="AR80" s="33"/>
      <c r="AS80" s="33"/>
      <c r="AT80" s="33"/>
      <c r="AU80" s="33"/>
    </row>
    <row r="81" spans="1:47" ht="10" customHeight="1">
      <c r="A81" s="2"/>
      <c r="B81" s="2"/>
      <c r="C81" s="2"/>
      <c r="D81" s="2"/>
      <c r="E81" s="2"/>
      <c r="F81" s="2"/>
      <c r="G81" s="2"/>
      <c r="H81" s="2"/>
      <c r="I81" s="2"/>
      <c r="J81" s="2"/>
      <c r="K81" s="2"/>
      <c r="L81" s="2"/>
      <c r="M81" s="2"/>
      <c r="N81" s="2"/>
      <c r="O81" s="2"/>
      <c r="P81" s="2"/>
      <c r="Q81" s="2"/>
      <c r="R81" s="2"/>
      <c r="S81" s="2"/>
      <c r="T81" s="2"/>
      <c r="U81" s="2"/>
      <c r="V81" s="2"/>
      <c r="W81" s="2"/>
      <c r="X81" s="2"/>
      <c r="Y81" s="2"/>
      <c r="Z81" s="225" t="s">
        <v>68</v>
      </c>
      <c r="AA81" s="226"/>
      <c r="AB81" s="226"/>
      <c r="AC81" s="226"/>
      <c r="AD81" s="226"/>
      <c r="AE81" s="226"/>
      <c r="AF81" s="226"/>
      <c r="AG81" s="226"/>
      <c r="AH81" s="226"/>
      <c r="AI81" s="226"/>
      <c r="AJ81" s="226"/>
      <c r="AK81" s="227"/>
      <c r="AL81" s="2"/>
      <c r="AM81" s="2"/>
      <c r="AN81" s="33"/>
      <c r="AO81" s="33"/>
      <c r="AP81" s="33"/>
      <c r="AQ81" s="33"/>
      <c r="AR81" s="33"/>
      <c r="AS81" s="33"/>
      <c r="AT81" s="33"/>
      <c r="AU81" s="33"/>
    </row>
    <row r="82" spans="1:47" ht="11" customHeight="1">
      <c r="A82" s="2"/>
      <c r="B82" s="2"/>
      <c r="C82" s="2"/>
      <c r="D82" s="2"/>
      <c r="E82" s="2"/>
      <c r="F82" s="2"/>
      <c r="G82" s="2"/>
      <c r="H82" s="2"/>
      <c r="I82" s="2"/>
      <c r="J82" s="2"/>
      <c r="K82" s="2"/>
      <c r="L82" s="2"/>
      <c r="M82" s="2"/>
      <c r="N82" s="2"/>
      <c r="O82" s="2"/>
      <c r="P82" s="2"/>
      <c r="Q82" s="2"/>
      <c r="R82" s="2"/>
      <c r="S82" s="2"/>
      <c r="T82" s="2"/>
      <c r="U82" s="2"/>
      <c r="V82" s="2"/>
      <c r="W82" s="2"/>
      <c r="X82" s="2"/>
      <c r="Y82" s="2"/>
      <c r="Z82" s="228"/>
      <c r="AA82" s="229"/>
      <c r="AB82" s="229"/>
      <c r="AC82" s="229"/>
      <c r="AD82" s="229"/>
      <c r="AE82" s="229"/>
      <c r="AF82" s="229"/>
      <c r="AG82" s="229"/>
      <c r="AH82" s="229"/>
      <c r="AI82" s="229"/>
      <c r="AJ82" s="229"/>
      <c r="AK82" s="230"/>
      <c r="AL82" s="2"/>
      <c r="AM82" s="223" t="s">
        <v>69</v>
      </c>
      <c r="AN82" s="33"/>
      <c r="AO82" s="33"/>
      <c r="AP82" s="33"/>
      <c r="AQ82" s="33"/>
      <c r="AR82" s="33"/>
      <c r="AS82" s="33"/>
      <c r="AT82" s="33"/>
      <c r="AU82" s="33"/>
    </row>
    <row r="83" spans="1:47" ht="9"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33"/>
      <c r="AN83" s="33"/>
      <c r="AO83" s="33"/>
      <c r="AP83" s="33"/>
      <c r="AQ83" s="33"/>
      <c r="AR83" s="33"/>
      <c r="AS83" s="33"/>
      <c r="AT83" s="33"/>
      <c r="AU83" s="33"/>
    </row>
    <row r="84" spans="1:47" ht="23"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12"/>
      <c r="AO84" s="212"/>
      <c r="AP84" s="212"/>
      <c r="AQ84" s="212"/>
      <c r="AR84" s="212"/>
      <c r="AS84" s="212"/>
      <c r="AT84" s="212"/>
      <c r="AU84" s="2"/>
    </row>
    <row r="85" spans="1:47" ht="10" customHeight="1">
      <c r="A85" s="2"/>
      <c r="B85" s="2"/>
      <c r="C85" s="2"/>
      <c r="D85" s="2"/>
      <c r="E85" s="2"/>
      <c r="F85" s="2"/>
      <c r="G85" s="2"/>
      <c r="H85" s="2"/>
      <c r="I85" s="2"/>
      <c r="J85" s="2"/>
      <c r="K85" s="2"/>
      <c r="L85" s="2"/>
      <c r="M85" s="2"/>
      <c r="N85" s="2"/>
      <c r="O85" s="2"/>
      <c r="P85" s="2"/>
      <c r="Q85" s="2"/>
      <c r="R85" s="2"/>
      <c r="S85" s="2"/>
      <c r="T85" s="2"/>
      <c r="U85" s="2"/>
      <c r="V85" s="2"/>
      <c r="W85" s="2"/>
      <c r="X85" s="2"/>
      <c r="Y85" s="2"/>
      <c r="Z85" s="213" t="s">
        <v>70</v>
      </c>
      <c r="AA85" s="213"/>
      <c r="AB85" s="213"/>
      <c r="AC85" s="213"/>
      <c r="AD85" s="213"/>
      <c r="AE85" s="213"/>
      <c r="AF85" s="213"/>
      <c r="AG85" s="213"/>
      <c r="AH85" s="213"/>
      <c r="AI85" s="213"/>
      <c r="AJ85" s="213"/>
      <c r="AK85" s="213"/>
      <c r="AL85" s="2"/>
      <c r="AM85" s="2"/>
      <c r="AN85" s="214" t="s">
        <v>71</v>
      </c>
      <c r="AO85" s="33"/>
      <c r="AP85" s="33"/>
      <c r="AQ85" s="33"/>
      <c r="AR85" s="33"/>
      <c r="AS85" s="33"/>
      <c r="AT85" s="33"/>
      <c r="AU85" s="33"/>
    </row>
  </sheetData>
  <mergeCells count="704">
    <mergeCell ref="AN84:AT84"/>
    <mergeCell ref="Z85:AK85"/>
    <mergeCell ref="AN85:AU85"/>
    <mergeCell ref="AP53:AQ53"/>
    <mergeCell ref="AP54:AQ54"/>
    <mergeCell ref="AM53:AO53"/>
    <mergeCell ref="AM54:AO54"/>
    <mergeCell ref="AS73:AS74"/>
    <mergeCell ref="Z76:AK76"/>
    <mergeCell ref="AM76:AU77"/>
    <mergeCell ref="Z77:AK78"/>
    <mergeCell ref="AN78:AU79"/>
    <mergeCell ref="Z79:AK79"/>
    <mergeCell ref="Z80:AK80"/>
    <mergeCell ref="AN80:AU81"/>
    <mergeCell ref="Z81:AK82"/>
    <mergeCell ref="AM82:AU83"/>
    <mergeCell ref="Z65:AK69"/>
    <mergeCell ref="AM65:AQ66"/>
    <mergeCell ref="AT65:AU66"/>
    <mergeCell ref="AR57:AR60"/>
    <mergeCell ref="AS57:AS60"/>
    <mergeCell ref="AM59:AQ60"/>
    <mergeCell ref="A66:X69"/>
    <mergeCell ref="AR65:AR66"/>
    <mergeCell ref="AS65:AS66"/>
    <mergeCell ref="AM67:AQ67"/>
    <mergeCell ref="AT67:AU67"/>
    <mergeCell ref="AM68:AQ68"/>
    <mergeCell ref="AT68:AU68"/>
    <mergeCell ref="AM69:AQ70"/>
    <mergeCell ref="AT69:AU70"/>
    <mergeCell ref="B70:X73"/>
    <mergeCell ref="Z70:AK71"/>
    <mergeCell ref="AR69:AR70"/>
    <mergeCell ref="AS69:AS70"/>
    <mergeCell ref="AM71:AQ72"/>
    <mergeCell ref="AT71:AU72"/>
    <mergeCell ref="Z72:AK75"/>
    <mergeCell ref="AR71:AR72"/>
    <mergeCell ref="AS71:AS72"/>
    <mergeCell ref="AM73:AQ74"/>
    <mergeCell ref="AT73:AU74"/>
    <mergeCell ref="AR73:AR74"/>
    <mergeCell ref="B61:F62"/>
    <mergeCell ref="G61:S61"/>
    <mergeCell ref="AM61:AQ61"/>
    <mergeCell ref="AT61:AU62"/>
    <mergeCell ref="G62:S62"/>
    <mergeCell ref="AM62:AQ62"/>
    <mergeCell ref="AR61:AR62"/>
    <mergeCell ref="AS61:AS62"/>
    <mergeCell ref="B63:F64"/>
    <mergeCell ref="G63:S63"/>
    <mergeCell ref="T63:V64"/>
    <mergeCell ref="AM63:AQ63"/>
    <mergeCell ref="AT63:AU64"/>
    <mergeCell ref="G64:S64"/>
    <mergeCell ref="Z64:AK64"/>
    <mergeCell ref="AM64:AQ64"/>
    <mergeCell ref="AR63:AR64"/>
    <mergeCell ref="AS63:AS64"/>
    <mergeCell ref="AO52:AP52"/>
    <mergeCell ref="AQ52:AU52"/>
    <mergeCell ref="A53:X53"/>
    <mergeCell ref="Z53:AK53"/>
    <mergeCell ref="AR53:AU53"/>
    <mergeCell ref="A54:X57"/>
    <mergeCell ref="Z54:AK55"/>
    <mergeCell ref="AT54:AU54"/>
    <mergeCell ref="AM55:AQ56"/>
    <mergeCell ref="AT55:AU56"/>
    <mergeCell ref="Z56:AK57"/>
    <mergeCell ref="AR55:AR56"/>
    <mergeCell ref="AS55:AS56"/>
    <mergeCell ref="AM57:AO58"/>
    <mergeCell ref="AP57:AQ58"/>
    <mergeCell ref="AT57:AU60"/>
    <mergeCell ref="B58:F60"/>
    <mergeCell ref="G58:S59"/>
    <mergeCell ref="T58:V60"/>
    <mergeCell ref="Z58:AK59"/>
    <mergeCell ref="A52:B52"/>
    <mergeCell ref="C52:E52"/>
    <mergeCell ref="G60:S60"/>
    <mergeCell ref="Z60:AK63"/>
    <mergeCell ref="F52:G52"/>
    <mergeCell ref="L52:M52"/>
    <mergeCell ref="R52:S52"/>
    <mergeCell ref="V52:W52"/>
    <mergeCell ref="X52:Y52"/>
    <mergeCell ref="Z52:AA52"/>
    <mergeCell ref="AG52:AH52"/>
    <mergeCell ref="AK50:AL50"/>
    <mergeCell ref="AM50:AN50"/>
    <mergeCell ref="AK52:AL52"/>
    <mergeCell ref="AM52:AN52"/>
    <mergeCell ref="AO50:AP50"/>
    <mergeCell ref="AQ50:AU50"/>
    <mergeCell ref="A51:B51"/>
    <mergeCell ref="C51:E51"/>
    <mergeCell ref="F51:G51"/>
    <mergeCell ref="L51:M51"/>
    <mergeCell ref="R51:S51"/>
    <mergeCell ref="V51:W51"/>
    <mergeCell ref="X51:Y51"/>
    <mergeCell ref="Z51:AA51"/>
    <mergeCell ref="AG51:AH51"/>
    <mergeCell ref="AK51:AL51"/>
    <mergeCell ref="AM51:AN51"/>
    <mergeCell ref="AO51:AP51"/>
    <mergeCell ref="AQ51:AU51"/>
    <mergeCell ref="A50:B50"/>
    <mergeCell ref="C50:E50"/>
    <mergeCell ref="F50:G50"/>
    <mergeCell ref="L50:M50"/>
    <mergeCell ref="R50:S50"/>
    <mergeCell ref="V50:W50"/>
    <mergeCell ref="X50:Y50"/>
    <mergeCell ref="Z50:AA50"/>
    <mergeCell ref="AG50:AH50"/>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48:B48"/>
    <mergeCell ref="C48:E48"/>
    <mergeCell ref="F48:G48"/>
    <mergeCell ref="L48:M48"/>
    <mergeCell ref="R48:S48"/>
    <mergeCell ref="V48:W48"/>
    <mergeCell ref="X48:Y48"/>
    <mergeCell ref="Z48:AA48"/>
    <mergeCell ref="AG48:AH48"/>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6:B46"/>
    <mergeCell ref="C46:E46"/>
    <mergeCell ref="F46:G46"/>
    <mergeCell ref="L46:M46"/>
    <mergeCell ref="R46:S46"/>
    <mergeCell ref="V46:W46"/>
    <mergeCell ref="X46:Y46"/>
    <mergeCell ref="Z46:AA46"/>
    <mergeCell ref="AG46:AH46"/>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4:B44"/>
    <mergeCell ref="C44:E44"/>
    <mergeCell ref="F44:G44"/>
    <mergeCell ref="L44:M44"/>
    <mergeCell ref="R44:S44"/>
    <mergeCell ref="V44:W44"/>
    <mergeCell ref="X44:Y44"/>
    <mergeCell ref="Z44:AA44"/>
    <mergeCell ref="AG44:AH44"/>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2:B42"/>
    <mergeCell ref="C42:E42"/>
    <mergeCell ref="F42:G42"/>
    <mergeCell ref="L42:M42"/>
    <mergeCell ref="R42:S42"/>
    <mergeCell ref="V42:W42"/>
    <mergeCell ref="X42:Y42"/>
    <mergeCell ref="Z42:AA42"/>
    <mergeCell ref="AG42:AH42"/>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0:B40"/>
    <mergeCell ref="C40:E40"/>
    <mergeCell ref="F40:G40"/>
    <mergeCell ref="L40:M40"/>
    <mergeCell ref="R40:S40"/>
    <mergeCell ref="V40:W40"/>
    <mergeCell ref="X40:Y40"/>
    <mergeCell ref="Z40:AA40"/>
    <mergeCell ref="AG40:AH40"/>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38:B38"/>
    <mergeCell ref="C38:E38"/>
    <mergeCell ref="F38:G38"/>
    <mergeCell ref="L38:M38"/>
    <mergeCell ref="R38:S38"/>
    <mergeCell ref="V38:W38"/>
    <mergeCell ref="X38:Y38"/>
    <mergeCell ref="Z38:AA38"/>
    <mergeCell ref="AG38:AH38"/>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6:B36"/>
    <mergeCell ref="C36:E36"/>
    <mergeCell ref="F36:G36"/>
    <mergeCell ref="L36:M36"/>
    <mergeCell ref="R36:S36"/>
    <mergeCell ref="V36:W36"/>
    <mergeCell ref="X36:Y36"/>
    <mergeCell ref="Z36:AA36"/>
    <mergeCell ref="AG36:AH36"/>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4:B34"/>
    <mergeCell ref="C34:E34"/>
    <mergeCell ref="F34:G34"/>
    <mergeCell ref="L34:M34"/>
    <mergeCell ref="R34:S34"/>
    <mergeCell ref="V34:W34"/>
    <mergeCell ref="X34:Y34"/>
    <mergeCell ref="Z34:AA34"/>
    <mergeCell ref="AG34:AH34"/>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2:B32"/>
    <mergeCell ref="C32:E32"/>
    <mergeCell ref="F32:G32"/>
    <mergeCell ref="L32:M32"/>
    <mergeCell ref="R32:S32"/>
    <mergeCell ref="V32:W32"/>
    <mergeCell ref="X32:Y32"/>
    <mergeCell ref="Z32:AA32"/>
    <mergeCell ref="AG32:AH32"/>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0:B30"/>
    <mergeCell ref="C30:E30"/>
    <mergeCell ref="F30:G30"/>
    <mergeCell ref="L30:M30"/>
    <mergeCell ref="R30:S30"/>
    <mergeCell ref="V30:W30"/>
    <mergeCell ref="X30:Y30"/>
    <mergeCell ref="Z30:AA30"/>
    <mergeCell ref="AG30:AH30"/>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28:B28"/>
    <mergeCell ref="C28:E28"/>
    <mergeCell ref="F28:G28"/>
    <mergeCell ref="L28:M28"/>
    <mergeCell ref="R28:S28"/>
    <mergeCell ref="V28:W28"/>
    <mergeCell ref="X28:Y28"/>
    <mergeCell ref="Z28:AA28"/>
    <mergeCell ref="AG28:AH28"/>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6:B26"/>
    <mergeCell ref="C26:E26"/>
    <mergeCell ref="F26:G26"/>
    <mergeCell ref="L26:M26"/>
    <mergeCell ref="R26:S26"/>
    <mergeCell ref="V26:W26"/>
    <mergeCell ref="X26:Y26"/>
    <mergeCell ref="Z26:AA26"/>
    <mergeCell ref="AG26:AH26"/>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4:B24"/>
    <mergeCell ref="C24:E24"/>
    <mergeCell ref="F24:G24"/>
    <mergeCell ref="L24:M24"/>
    <mergeCell ref="R24:S24"/>
    <mergeCell ref="V24:W24"/>
    <mergeCell ref="X24:Y24"/>
    <mergeCell ref="Z24:AA24"/>
    <mergeCell ref="AG24:AH24"/>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2:B22"/>
    <mergeCell ref="C22:E22"/>
    <mergeCell ref="F22:G22"/>
    <mergeCell ref="L22:M22"/>
    <mergeCell ref="R22:S22"/>
    <mergeCell ref="V22:W22"/>
    <mergeCell ref="X22:Y22"/>
    <mergeCell ref="Z22:AA22"/>
    <mergeCell ref="AG22:AH22"/>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0:B20"/>
    <mergeCell ref="C20:E20"/>
    <mergeCell ref="F20:G20"/>
    <mergeCell ref="L20:M20"/>
    <mergeCell ref="R20:S20"/>
    <mergeCell ref="V20:W20"/>
    <mergeCell ref="X20:Y20"/>
    <mergeCell ref="Z20:AA20"/>
    <mergeCell ref="AG20:AH20"/>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18:B18"/>
    <mergeCell ref="C18:E18"/>
    <mergeCell ref="F18:G18"/>
    <mergeCell ref="L18:M18"/>
    <mergeCell ref="R18:S18"/>
    <mergeCell ref="V18:W18"/>
    <mergeCell ref="X18:Y18"/>
    <mergeCell ref="Z18:AA18"/>
    <mergeCell ref="AG18:AH18"/>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6:B16"/>
    <mergeCell ref="C16:E16"/>
    <mergeCell ref="F16:G16"/>
    <mergeCell ref="L16:M16"/>
    <mergeCell ref="R16:S16"/>
    <mergeCell ref="V16:W16"/>
    <mergeCell ref="X16:Y16"/>
    <mergeCell ref="Z16:AA16"/>
    <mergeCell ref="AG16:AH16"/>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4:B14"/>
    <mergeCell ref="C14:E14"/>
    <mergeCell ref="F14:G14"/>
    <mergeCell ref="L14:M14"/>
    <mergeCell ref="R14:S14"/>
    <mergeCell ref="V14:W14"/>
    <mergeCell ref="X14:Y14"/>
    <mergeCell ref="Z14:AA14"/>
    <mergeCell ref="AG14:AH14"/>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2:B12"/>
    <mergeCell ref="C12:E12"/>
    <mergeCell ref="F12:G12"/>
    <mergeCell ref="L12:M12"/>
    <mergeCell ref="R12:S12"/>
    <mergeCell ref="V12:W12"/>
    <mergeCell ref="X12:Y12"/>
    <mergeCell ref="Z12:AA12"/>
    <mergeCell ref="AG12:AH12"/>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0:B10"/>
    <mergeCell ref="C10:E10"/>
    <mergeCell ref="F10:G10"/>
    <mergeCell ref="L10:M10"/>
    <mergeCell ref="R10:S10"/>
    <mergeCell ref="V10:W10"/>
    <mergeCell ref="X10:Y10"/>
    <mergeCell ref="Z10:AA10"/>
    <mergeCell ref="AG10:AH10"/>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8:B8"/>
    <mergeCell ref="C8:E8"/>
    <mergeCell ref="F8:G8"/>
    <mergeCell ref="L8:M8"/>
    <mergeCell ref="R8:S8"/>
    <mergeCell ref="V8:W8"/>
    <mergeCell ref="X8:Y8"/>
    <mergeCell ref="Z8:AA8"/>
    <mergeCell ref="AG8:AH8"/>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1:AU1"/>
    <mergeCell ref="A2:AU2"/>
    <mergeCell ref="A3:D3"/>
    <mergeCell ref="F3:I3"/>
    <mergeCell ref="J3:L3"/>
    <mergeCell ref="M3:R3"/>
    <mergeCell ref="S3:Z3"/>
    <mergeCell ref="AA3:AG3"/>
    <mergeCell ref="A4:D4"/>
    <mergeCell ref="F4:R4"/>
    <mergeCell ref="S4:Z4"/>
    <mergeCell ref="AA4:AG4"/>
    <mergeCell ref="AI4:AL4"/>
    <mergeCell ref="AM4:AU4"/>
  </mergeCells>
  <pageMargins left="0.27777777777777779" right="0.27777777777777779" top="0.27777777777777779" bottom="0.27777777777777779" header="0" footer="0"/>
  <pageSetup paperSize="9" firstPageNumber="0" fitToWidth="0" fitToHeight="0" pageOrder="overThenDown"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2026-04-17T07:05:57Z</cp:lastPrinted>
  <dcterms:created xsi:type="dcterms:W3CDTF">2026-04-17T07:04:05Z</dcterms:created>
  <dcterms:modified xsi:type="dcterms:W3CDTF">2026-07-15T13:00:56Z</dcterms:modified>
</cp:coreProperties>
</file>